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.xml" ContentType="application/vnd.openxmlformats-officedocument.drawing+xml"/>
  <Override PartName="/xl/drawings/drawing30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 tabRatio="855" activeTab="27"/>
  </bookViews>
  <sheets>
    <sheet name="ДАТА" sheetId="1" r:id="rId1"/>
    <sheet name="ДЕНЬ МЕСЯЦ ГОД" sheetId="9" r:id="rId2"/>
    <sheet name="СЕГОДНЯ" sheetId="28" r:id="rId3"/>
    <sheet name="ДАТАМЕС" sheetId="29" r:id="rId4"/>
    <sheet name="ОКРУГЛы" sheetId="2" r:id="rId5"/>
    <sheet name="СУММ" sheetId="3" r:id="rId6"/>
    <sheet name="СРЗНАЧ" sheetId="5" r:id="rId7"/>
    <sheet name="ЕСЛИ" sheetId="6" r:id="rId8"/>
    <sheet name="И ИЛИ" sheetId="10" r:id="rId9"/>
    <sheet name="СЧЁТЕСЛИ" sheetId="7" r:id="rId10"/>
    <sheet name="СУММЕСЛИ" sheetId="8" r:id="rId11"/>
    <sheet name="СРЗНАЧЕСЛИ" sheetId="17" r:id="rId12"/>
    <sheet name="МИН МАКС" sheetId="12" r:id="rId13"/>
    <sheet name="СЖПРОБЕЛЫ" sheetId="11" r:id="rId14"/>
    <sheet name="ПОИСК НАЙТИ" sheetId="4" r:id="rId15"/>
    <sheet name="ПОДСТАВИТЬ" sheetId="13" r:id="rId16"/>
    <sheet name="ЗАМЕНИТЬ" sheetId="27" r:id="rId17"/>
    <sheet name="ЛЕВСИМВ ПРАВСИМВ" sheetId="14" r:id="rId18"/>
    <sheet name="ДЛСТР" sheetId="15" r:id="rId19"/>
    <sheet name="СЦЕПИТЬ" sheetId="18" r:id="rId20"/>
    <sheet name="СТРОЧН ПРОПНАЧ ПРОПИСН" sheetId="30" r:id="rId21"/>
    <sheet name="СЧЁТ СЧЁТЗ" sheetId="16" r:id="rId22"/>
    <sheet name="СЧИТАТЬПУСТОТЫ" sheetId="20" r:id="rId23"/>
    <sheet name="ЕПУСТО ЕТЕКСТ ЕЧИСЛО" sheetId="31" r:id="rId24"/>
    <sheet name="НАИБОЛЬШИЙ НАИМЕНЬШИЙ" sheetId="19" r:id="rId25"/>
    <sheet name="ВПР" sheetId="21" r:id="rId26"/>
    <sheet name="ЕСЛИОШИБКА" sheetId="23" r:id="rId27"/>
    <sheet name="ПОИСКПОЗ" sheetId="24" r:id="rId28"/>
    <sheet name="ИНДЕКС" sheetId="25" r:id="rId29"/>
    <sheet name="РАНГ" sheetId="26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<sst xmlns="http://schemas.openxmlformats.org/spreadsheetml/2006/main" count="573" uniqueCount="405">
  <si>
    <t>tolstyakoff.ru</t>
  </si>
  <si>
    <t>ДАТА</t>
  </si>
  <si>
    <t>Год</t>
  </si>
  <si>
    <t>Месяц</t>
  </si>
  <si>
    <t>День</t>
  </si>
  <si>
    <t>Результат</t>
  </si>
  <si>
    <t>ДЕНЬ</t>
  </si>
  <si>
    <t>МЕСЯЦ</t>
  </si>
  <si>
    <t>ГОД</t>
  </si>
  <si>
    <t>Дата</t>
  </si>
  <si>
    <t>СЕГОДНЯ</t>
  </si>
  <si>
    <t>Формула</t>
  </si>
  <si>
    <t>=СЕГОДНЯ ()</t>
  </si>
  <si>
    <t>// текущая дата</t>
  </si>
  <si>
    <t>=СЕГОДНЯ () -7</t>
  </si>
  <si>
    <t>// за неделю до текущей даты</t>
  </si>
  <si>
    <t>=СЕГОДНЯ () +7</t>
  </si>
  <si>
    <t>// через неделю от текущей даты</t>
  </si>
  <si>
    <t>=СЕГОДНЯ () + 90</t>
  </si>
  <si>
    <t>// через 90 дней от текущей даты</t>
  </si>
  <si>
    <t>=ДАТАМЕС ( СЕГОДНЯ () ; 3 )</t>
  </si>
  <si>
    <t>// через 3 месяца от текущей даты</t>
  </si>
  <si>
    <t>=ДАТАМЕС ( СЕГОДНЯ () ; 12 )</t>
  </si>
  <si>
    <t>// через 1 год от текущей даты</t>
  </si>
  <si>
    <t>=ДАТАМЕС ( СЕГОДНЯ () ; -12 )</t>
  </si>
  <si>
    <t>// за 1 год от текущей даты</t>
  </si>
  <si>
    <t>=КОНМЕСЯЦА ( СЕГОДНЯ () ; 0 )</t>
  </si>
  <si>
    <t>// конец текущего месяца</t>
  </si>
  <si>
    <t xml:space="preserve">=КОНМЕСЯЦА ( СЕГОДНЯ () ; -1 ) +1 </t>
  </si>
  <si>
    <t>// первый день текущего месяца</t>
  </si>
  <si>
    <t>=СЕГОДНЯ () + ВРЕМЯ ( 18 ; 0 ; 0 )</t>
  </si>
  <si>
    <t>// сегодня в 18:00</t>
  </si>
  <si>
    <t>=СЕГОДНЯ () + 1 + ВРЕМЯ ( 12 ; 0 ; 0 )</t>
  </si>
  <si>
    <t>// завтра в 12:00</t>
  </si>
  <si>
    <t>ТДАТА</t>
  </si>
  <si>
    <t>Дата Время</t>
  </si>
  <si>
    <t>=ТДАТА()</t>
  </si>
  <si>
    <t>//Аналогично, но + время</t>
  </si>
  <si>
    <t>ДАТАМЕС</t>
  </si>
  <si>
    <t>Месяцы</t>
  </si>
  <si>
    <t>// через 1 месяц</t>
  </si>
  <si>
    <t>// через 2 месяца</t>
  </si>
  <si>
    <t>// через 3 месяца</t>
  </si>
  <si>
    <t>// за 1 месяц</t>
  </si>
  <si>
    <t>// за 2 месяца</t>
  </si>
  <si>
    <t>// за 3 месяца</t>
  </si>
  <si>
    <t>// находит последний день месяца</t>
  </si>
  <si>
    <t>// не учитывает дроби</t>
  </si>
  <si>
    <t>// через 1 год</t>
  </si>
  <si>
    <t>// через 2 года</t>
  </si>
  <si>
    <t>// через 10 лет</t>
  </si>
  <si>
    <t>// за 5 лет</t>
  </si>
  <si>
    <t>ОКРУГЛ</t>
  </si>
  <si>
    <t>ОКРУГЛВВЕРХ</t>
  </si>
  <si>
    <t>ОКРУГЛВНИЗ</t>
  </si>
  <si>
    <t>ЦЕЛОЕ</t>
  </si>
  <si>
    <t>Число</t>
  </si>
  <si>
    <t>Разряды</t>
  </si>
  <si>
    <t>//округление до целого</t>
  </si>
  <si>
    <t>//до 1 знака после запятой</t>
  </si>
  <si>
    <t>//до 2 знаков после запятой</t>
  </si>
  <si>
    <t>//округление нуля</t>
  </si>
  <si>
    <t>//отрицательные числа до 1 знака после запятой</t>
  </si>
  <si>
    <t>//отрицательные числа до 2 знаков после запятой</t>
  </si>
  <si>
    <t>//округление до десятых</t>
  </si>
  <si>
    <t>//округление до сотых</t>
  </si>
  <si>
    <t>//округление до тысячных</t>
  </si>
  <si>
    <t>//округление до 10-тысячных</t>
  </si>
  <si>
    <t>СУММ</t>
  </si>
  <si>
    <t>Знач.1</t>
  </si>
  <si>
    <t>Знач.2</t>
  </si>
  <si>
    <t>Знач.3</t>
  </si>
  <si>
    <t>Знач.4</t>
  </si>
  <si>
    <t>Знач.5</t>
  </si>
  <si>
    <t>//целые числа</t>
  </si>
  <si>
    <t>//дробные числа</t>
  </si>
  <si>
    <t>//отрицательные числа</t>
  </si>
  <si>
    <t>//дата - это тоже число</t>
  </si>
  <si>
    <t>//время - это тоже число</t>
  </si>
  <si>
    <t>два</t>
  </si>
  <si>
    <t>четыре</t>
  </si>
  <si>
    <t>//текст не учитывается</t>
  </si>
  <si>
    <t>Миша</t>
  </si>
  <si>
    <t>Вася</t>
  </si>
  <si>
    <t>Петя</t>
  </si>
  <si>
    <t>Коля</t>
  </si>
  <si>
    <t>Саша</t>
  </si>
  <si>
    <t>//при наличии ошибок сумма не считается</t>
  </si>
  <si>
    <t>СРЗНАЧ</t>
  </si>
  <si>
    <t>//ноль участвует в расчетах</t>
  </si>
  <si>
    <t>//пустые значения не учитываются</t>
  </si>
  <si>
    <t>//при наличии ошибок среднее не вычисляется</t>
  </si>
  <si>
    <t>ЕСЛИ</t>
  </si>
  <si>
    <t>Сотрудник</t>
  </si>
  <si>
    <t>Продажи</t>
  </si>
  <si>
    <t>Премия</t>
  </si>
  <si>
    <t>Бумажкин В.</t>
  </si>
  <si>
    <t>Денежкина А.</t>
  </si>
  <si>
    <t>Винтиков А.</t>
  </si>
  <si>
    <t>Колбаскина М.</t>
  </si>
  <si>
    <t>Сырник Ф.</t>
  </si>
  <si>
    <t>Котиков О.</t>
  </si>
  <si>
    <t>Собакевич Д.</t>
  </si>
  <si>
    <t>Жуликов С.</t>
  </si>
  <si>
    <t>Любимова Ю.</t>
  </si>
  <si>
    <t>Нужная А.</t>
  </si>
  <si>
    <t>Звонков П.</t>
  </si>
  <si>
    <t>И</t>
  </si>
  <si>
    <t>ИЛИ</t>
  </si>
  <si>
    <t>Кол-во</t>
  </si>
  <si>
    <t>Цвет</t>
  </si>
  <si>
    <t>Красный</t>
  </si>
  <si>
    <t>Синий</t>
  </si>
  <si>
    <t>Желтый</t>
  </si>
  <si>
    <t>Зеленый</t>
  </si>
  <si>
    <t>СЧЁТЕСЛИ</t>
  </si>
  <si>
    <t>Ресторан</t>
  </si>
  <si>
    <t>Ср. чек</t>
  </si>
  <si>
    <t>Рейтинг (из 5)</t>
  </si>
  <si>
    <t>Бизнес-ланч</t>
  </si>
  <si>
    <t>Критерий</t>
  </si>
  <si>
    <t>Балкан</t>
  </si>
  <si>
    <t>да</t>
  </si>
  <si>
    <t>Чек до 5000₽</t>
  </si>
  <si>
    <t>Дача</t>
  </si>
  <si>
    <t>нет</t>
  </si>
  <si>
    <t>Рейтинг от 4 баллов</t>
  </si>
  <si>
    <t>Италия</t>
  </si>
  <si>
    <t>С Бизнес-ланчем</t>
  </si>
  <si>
    <t>Охота</t>
  </si>
  <si>
    <t>Сиртаки</t>
  </si>
  <si>
    <t>Пизанская башня</t>
  </si>
  <si>
    <t>Япония</t>
  </si>
  <si>
    <t>НиХао</t>
  </si>
  <si>
    <t>Морской</t>
  </si>
  <si>
    <t>СУММЕСЛИ</t>
  </si>
  <si>
    <t>Город</t>
  </si>
  <si>
    <t>Тип заказчика</t>
  </si>
  <si>
    <t>Сумма заказов</t>
  </si>
  <si>
    <t>Москва</t>
  </si>
  <si>
    <t>ИП</t>
  </si>
  <si>
    <t>Санкт-Петербург</t>
  </si>
  <si>
    <t>ООО</t>
  </si>
  <si>
    <t>Владивосток</t>
  </si>
  <si>
    <t>Пермь</t>
  </si>
  <si>
    <t>Самара</t>
  </si>
  <si>
    <t>ФЛ</t>
  </si>
  <si>
    <t>СРЗНАЧЕСЛИ</t>
  </si>
  <si>
    <t>Отель</t>
  </si>
  <si>
    <t>Цена</t>
  </si>
  <si>
    <t>Завтрак</t>
  </si>
  <si>
    <t>Кол-во мест</t>
  </si>
  <si>
    <t>Среднее</t>
  </si>
  <si>
    <t>Европа</t>
  </si>
  <si>
    <t>Цена &gt;5000₽</t>
  </si>
  <si>
    <t>Сандей</t>
  </si>
  <si>
    <t>2 и более мест</t>
  </si>
  <si>
    <t>Корона</t>
  </si>
  <si>
    <t>С завтраком</t>
  </si>
  <si>
    <t>Престиж</t>
  </si>
  <si>
    <t>Усадьба</t>
  </si>
  <si>
    <t>Турист</t>
  </si>
  <si>
    <t>Алтай</t>
  </si>
  <si>
    <t>Горка</t>
  </si>
  <si>
    <t>Медведь</t>
  </si>
  <si>
    <t>МИН</t>
  </si>
  <si>
    <t>МАКС</t>
  </si>
  <si>
    <t>Ученик</t>
  </si>
  <si>
    <t>Баллы</t>
  </si>
  <si>
    <t>Минимальное значение</t>
  </si>
  <si>
    <t>Колбаскин</t>
  </si>
  <si>
    <t>Васечков</t>
  </si>
  <si>
    <t>Мичунин</t>
  </si>
  <si>
    <t>Умников</t>
  </si>
  <si>
    <t>Максимальное значение</t>
  </si>
  <si>
    <t>Бумажкин</t>
  </si>
  <si>
    <t>Сырник</t>
  </si>
  <si>
    <t>Котиков</t>
  </si>
  <si>
    <t>Любимова</t>
  </si>
  <si>
    <t xml:space="preserve">Звонков </t>
  </si>
  <si>
    <t>Авина</t>
  </si>
  <si>
    <t>Маканова</t>
  </si>
  <si>
    <t>СЖПРОБЕЛЫ</t>
  </si>
  <si>
    <t>Текст</t>
  </si>
  <si>
    <t xml:space="preserve">Лучшее     -     враг хорошего     </t>
  </si>
  <si>
    <t>Семь   раз  отмерь - один раз    отрежь</t>
  </si>
  <si>
    <t>Слово   -  не             воробей</t>
  </si>
  <si>
    <t>Сделал     дело    -       гуляй  смело</t>
  </si>
  <si>
    <t>Цыплят      по    осени      считают</t>
  </si>
  <si>
    <t>Береги     честь    смолоду</t>
  </si>
  <si>
    <t>Семеро    одного     не        ждут</t>
  </si>
  <si>
    <t>ПОИСК          НАЙТИ</t>
  </si>
  <si>
    <t>Искать</t>
  </si>
  <si>
    <t>Результат ПОИСК</t>
  </si>
  <si>
    <t>Результат НАЙТИ</t>
  </si>
  <si>
    <t>С</t>
  </si>
  <si>
    <r>
      <rPr>
        <b/>
        <sz val="11"/>
        <rFont val="Calibri"/>
        <charset val="134"/>
        <scheme val="minor"/>
      </rPr>
      <t>С</t>
    </r>
    <r>
      <rPr>
        <sz val="11"/>
        <color theme="1"/>
        <rFont val="Calibri"/>
        <charset val="134"/>
        <scheme val="minor"/>
      </rPr>
      <t>уббота</t>
    </r>
  </si>
  <si>
    <t>// результат - номер символа</t>
  </si>
  <si>
    <t>б</t>
  </si>
  <si>
    <r>
      <rPr>
        <sz val="11"/>
        <color theme="1"/>
        <rFont val="Calibri"/>
        <charset val="134"/>
        <scheme val="minor"/>
      </rPr>
      <t>Су</t>
    </r>
    <r>
      <rPr>
        <b/>
        <sz val="11"/>
        <color theme="1"/>
        <rFont val="Calibri"/>
        <charset val="134"/>
        <scheme val="minor"/>
      </rPr>
      <t>б</t>
    </r>
    <r>
      <rPr>
        <sz val="11"/>
        <color theme="1"/>
        <rFont val="Calibri"/>
        <charset val="134"/>
        <scheme val="minor"/>
      </rPr>
      <t>бота</t>
    </r>
  </si>
  <si>
    <t>// выдает 1ое вхождение</t>
  </si>
  <si>
    <t>та</t>
  </si>
  <si>
    <r>
      <rPr>
        <sz val="11"/>
        <color theme="1"/>
        <rFont val="Calibri"/>
        <charset val="134"/>
        <scheme val="minor"/>
      </rPr>
      <t>Суббо</t>
    </r>
    <r>
      <rPr>
        <b/>
        <sz val="11"/>
        <color theme="1"/>
        <rFont val="Calibri"/>
        <charset val="134"/>
        <scheme val="minor"/>
      </rPr>
      <t>та</t>
    </r>
  </si>
  <si>
    <t>// по нескольким символам</t>
  </si>
  <si>
    <t>т</t>
  </si>
  <si>
    <r>
      <rPr>
        <b/>
        <sz val="11"/>
        <rFont val="Calibri"/>
        <charset val="134"/>
        <scheme val="minor"/>
      </rPr>
      <t>Т</t>
    </r>
    <r>
      <rPr>
        <sz val="11"/>
        <color theme="1"/>
        <rFont val="Calibri"/>
        <charset val="134"/>
        <scheme val="minor"/>
      </rPr>
      <t xml:space="preserve">ерпенье и </t>
    </r>
    <r>
      <rPr>
        <b/>
        <sz val="11"/>
        <color theme="1"/>
        <rFont val="Calibri"/>
        <charset val="134"/>
        <scheme val="minor"/>
      </rPr>
      <t>т</t>
    </r>
    <r>
      <rPr>
        <sz val="11"/>
        <color theme="1"/>
        <rFont val="Calibri"/>
        <charset val="134"/>
        <scheme val="minor"/>
      </rPr>
      <t>руд все перетрут</t>
    </r>
  </si>
  <si>
    <t>// чувствительность к регистру</t>
  </si>
  <si>
    <t>Т</t>
  </si>
  <si>
    <r>
      <rPr>
        <b/>
        <sz val="11"/>
        <color theme="1"/>
        <rFont val="Calibri"/>
        <charset val="134"/>
        <scheme val="minor"/>
      </rPr>
      <t>Т</t>
    </r>
    <r>
      <rPr>
        <sz val="11"/>
        <color theme="1"/>
        <rFont val="Calibri"/>
        <charset val="134"/>
        <scheme val="minor"/>
      </rPr>
      <t>ерпенье и труд все перетрут</t>
    </r>
  </si>
  <si>
    <t>Лошадь</t>
  </si>
  <si>
    <t>// ошибка, если символ не найден</t>
  </si>
  <si>
    <t>?ер</t>
  </si>
  <si>
    <r>
      <rPr>
        <b/>
        <sz val="11"/>
        <color theme="1"/>
        <rFont val="Calibri"/>
        <charset val="134"/>
        <scheme val="minor"/>
      </rPr>
      <t>Тер</t>
    </r>
    <r>
      <rPr>
        <sz val="11"/>
        <color theme="1"/>
        <rFont val="Calibri"/>
        <charset val="134"/>
        <scheme val="minor"/>
      </rPr>
      <t>пенье и труд все перетрут</t>
    </r>
  </si>
  <si>
    <t>// работа с символами подстановки</t>
  </si>
  <si>
    <t>// 1, если не задан искомый текст</t>
  </si>
  <si>
    <t>:</t>
  </si>
  <si>
    <r>
      <rPr>
        <sz val="11"/>
        <color theme="1"/>
        <rFont val="Calibri"/>
        <charset val="134"/>
        <scheme val="minor"/>
      </rPr>
      <t>Статус</t>
    </r>
    <r>
      <rPr>
        <b/>
        <sz val="11"/>
        <color theme="1"/>
        <rFont val="Calibri"/>
        <charset val="134"/>
        <scheme val="minor"/>
      </rPr>
      <t>:</t>
    </r>
    <r>
      <rPr>
        <sz val="11"/>
        <color theme="1"/>
        <rFont val="Calibri"/>
        <charset val="134"/>
        <scheme val="minor"/>
      </rPr>
      <t xml:space="preserve"> готово</t>
    </r>
  </si>
  <si>
    <t>// знаки препинания считаются</t>
  </si>
  <si>
    <t>-</t>
  </si>
  <si>
    <r>
      <rPr>
        <sz val="11"/>
        <color theme="1"/>
        <rFont val="Calibri"/>
        <charset val="134"/>
        <scheme val="minor"/>
      </rPr>
      <t>909</t>
    </r>
    <r>
      <rPr>
        <b/>
        <sz val="11"/>
        <color theme="1"/>
        <rFont val="Calibri"/>
        <charset val="134"/>
        <scheme val="minor"/>
      </rPr>
      <t>-</t>
    </r>
    <r>
      <rPr>
        <sz val="11"/>
        <color theme="1"/>
        <rFont val="Calibri"/>
        <charset val="134"/>
        <scheme val="minor"/>
      </rPr>
      <t>888-55-66</t>
    </r>
  </si>
  <si>
    <t>// позиция 1го дефиса</t>
  </si>
  <si>
    <t>// работает с числами</t>
  </si>
  <si>
    <t>ПОДСТАВИТЬ</t>
  </si>
  <si>
    <t>Старый текст</t>
  </si>
  <si>
    <t>Новый текст</t>
  </si>
  <si>
    <t>Примечание</t>
  </si>
  <si>
    <t>Стул</t>
  </si>
  <si>
    <t>=ПОДСТАВИТЬ(B5;"у";"о")</t>
  </si>
  <si>
    <t>Меняет все "у" на "о"</t>
  </si>
  <si>
    <t>Помодор</t>
  </si>
  <si>
    <t>=ПОДСТАВИТЬ(B6;"о";"и";2)</t>
  </si>
  <si>
    <t>Меняет 2ое "о"</t>
  </si>
  <si>
    <t>Кот, кот</t>
  </si>
  <si>
    <t>=ПОДСТАВИТЬ(B7;"кот";"тигр")</t>
  </si>
  <si>
    <t>Чувствительна к регистру</t>
  </si>
  <si>
    <t>###1825##</t>
  </si>
  <si>
    <t>=ПОДСТАВИТЬ(B8;"#";"")</t>
  </si>
  <si>
    <t>Замена на пустоту</t>
  </si>
  <si>
    <t>ЗАМЕНИТЬ</t>
  </si>
  <si>
    <t>Текст 1</t>
  </si>
  <si>
    <t>Текст 2</t>
  </si>
  <si>
    <t>ФГС-2025-01</t>
  </si>
  <si>
    <t>ФГС-2025-02</t>
  </si>
  <si>
    <t>ФГС-2025-03</t>
  </si>
  <si>
    <t>ААБ-2025-001</t>
  </si>
  <si>
    <t>ААБ-2025-002</t>
  </si>
  <si>
    <t>ААБ-2025-003</t>
  </si>
  <si>
    <t>ААБ-2025-004</t>
  </si>
  <si>
    <t>НАР-2025-875</t>
  </si>
  <si>
    <t>НАР-2025-876</t>
  </si>
  <si>
    <t>НАР-2025-877</t>
  </si>
  <si>
    <t>ПУИ-2025-003</t>
  </si>
  <si>
    <t>ПУИ-2025-004</t>
  </si>
  <si>
    <t>ЛЕВСИМВ</t>
  </si>
  <si>
    <t>ПРАВСИМВ</t>
  </si>
  <si>
    <t>АБВ</t>
  </si>
  <si>
    <t>=ЛЕВСИМВ(B5)</t>
  </si>
  <si>
    <t>=ПРАВСИМВ(B6)</t>
  </si>
  <si>
    <t>Мама мыла раму</t>
  </si>
  <si>
    <t>=ЛЕВСИМВ(B8;4)</t>
  </si>
  <si>
    <t>=ПРАВСИМВ(B9;4)</t>
  </si>
  <si>
    <t>909-888-66-55</t>
  </si>
  <si>
    <t>=ЛЕВСИМВ(B11;3)</t>
  </si>
  <si>
    <t>=ПРАВСИМВ(B12;5)</t>
  </si>
  <si>
    <t>7500 221155</t>
  </si>
  <si>
    <t>=ЛЕВСИМВ(B14;4)</t>
  </si>
  <si>
    <t>=ПРАВСИМВ(B15;6)</t>
  </si>
  <si>
    <t>ДЛСТР</t>
  </si>
  <si>
    <t>Луч</t>
  </si>
  <si>
    <t>// 3 символа</t>
  </si>
  <si>
    <t xml:space="preserve">Луч </t>
  </si>
  <si>
    <t>// скрытый пробел в конце</t>
  </si>
  <si>
    <t>ЛУЧ</t>
  </si>
  <si>
    <t>// регистр не важен</t>
  </si>
  <si>
    <t>г. Усть-Кут</t>
  </si>
  <si>
    <t>// считаются пробелы и символы</t>
  </si>
  <si>
    <t>// пустая ячейка = 0</t>
  </si>
  <si>
    <t>// 4 символа</t>
  </si>
  <si>
    <t>// форматирование не считается</t>
  </si>
  <si>
    <t>// дата - это 5-значное число</t>
  </si>
  <si>
    <t>// считается запятая и знаки после</t>
  </si>
  <si>
    <t>// число длинее, чем видно</t>
  </si>
  <si>
    <t>// минус тоже считается</t>
  </si>
  <si>
    <t>СЦЕПИТЬ</t>
  </si>
  <si>
    <t>=СЦЕПИТЬ(B5;", ";C5;", ";D5)</t>
  </si>
  <si>
    <t>Результат СЦЕПИТЬ</t>
  </si>
  <si>
    <t>А</t>
  </si>
  <si>
    <t>Б</t>
  </si>
  <si>
    <t>В</t>
  </si>
  <si>
    <t>сливы</t>
  </si>
  <si>
    <t>яблоки</t>
  </si>
  <si>
    <t>груши</t>
  </si>
  <si>
    <t>красный</t>
  </si>
  <si>
    <t>синий</t>
  </si>
  <si>
    <t>зеленый</t>
  </si>
  <si>
    <t>=СЦЕПИТЬ(B11;" и ";C11)</t>
  </si>
  <si>
    <t>=СЦЕПИТЬ(D15;", ";B15;" ";C15)</t>
  </si>
  <si>
    <t>Имя</t>
  </si>
  <si>
    <t>Отчество</t>
  </si>
  <si>
    <t>Обращение</t>
  </si>
  <si>
    <t>Петр</t>
  </si>
  <si>
    <t>Петрович</t>
  </si>
  <si>
    <t>Уважаемый</t>
  </si>
  <si>
    <t xml:space="preserve">СТРОЧН </t>
  </si>
  <si>
    <t xml:space="preserve">ПРОПНАЧ </t>
  </si>
  <si>
    <t xml:space="preserve">ПРОПИСН                   </t>
  </si>
  <si>
    <t>ПРОПИСН</t>
  </si>
  <si>
    <t>КНигА</t>
  </si>
  <si>
    <t>книГА</t>
  </si>
  <si>
    <t>а.с. Пушкин</t>
  </si>
  <si>
    <t>яблоки, Груши</t>
  </si>
  <si>
    <t>ИК-0002536</t>
  </si>
  <si>
    <t>ИК-0002536-чб</t>
  </si>
  <si>
    <t>// числа не меняются</t>
  </si>
  <si>
    <t>// форматирование исчезло</t>
  </si>
  <si>
    <t xml:space="preserve">СЧЁТ </t>
  </si>
  <si>
    <t>СЧЁТЗ</t>
  </si>
  <si>
    <t>Значение</t>
  </si>
  <si>
    <t>Учитывает
СЧЁТ</t>
  </si>
  <si>
    <t>Учитывает
СЧЁТЗ</t>
  </si>
  <si>
    <t>СЧЁТ</t>
  </si>
  <si>
    <t>//текст</t>
  </si>
  <si>
    <t>//число</t>
  </si>
  <si>
    <t>//проценты</t>
  </si>
  <si>
    <t>//дроби</t>
  </si>
  <si>
    <t xml:space="preserve">    </t>
  </si>
  <si>
    <t>//пробелы</t>
  </si>
  <si>
    <t>//пустая ячейка</t>
  </si>
  <si>
    <t>//дата - это число</t>
  </si>
  <si>
    <t>//время - это число</t>
  </si>
  <si>
    <t>//число как текст</t>
  </si>
  <si>
    <t>//ошибка</t>
  </si>
  <si>
    <t>СЧИТАТЬПУСТОТЫ</t>
  </si>
  <si>
    <t>Пустых значений</t>
  </si>
  <si>
    <t>Холодильник</t>
  </si>
  <si>
    <t>Фен</t>
  </si>
  <si>
    <t xml:space="preserve"> </t>
  </si>
  <si>
    <t>//пробел</t>
  </si>
  <si>
    <t>//результат вычисления =""</t>
  </si>
  <si>
    <t>ЕПУСТО</t>
  </si>
  <si>
    <t>ЕТЕКСТ</t>
  </si>
  <si>
    <t>ЕЧИСЛО</t>
  </si>
  <si>
    <t>// текст</t>
  </si>
  <si>
    <t>// пустая ячейка</t>
  </si>
  <si>
    <t>// ячейка с пробелом</t>
  </si>
  <si>
    <t>// ячейка с формулой</t>
  </si>
  <si>
    <t>// число</t>
  </si>
  <si>
    <t>100 000</t>
  </si>
  <si>
    <t>// число как текст</t>
  </si>
  <si>
    <t>// дата - это число</t>
  </si>
  <si>
    <t>// время - это число</t>
  </si>
  <si>
    <t>//ошибки - не текст и не число</t>
  </si>
  <si>
    <t>НАИБОЛЬШИЙ</t>
  </si>
  <si>
    <t>НАИМЕНЬШИЙ</t>
  </si>
  <si>
    <t>№</t>
  </si>
  <si>
    <t>Наибольшие баллы</t>
  </si>
  <si>
    <t>Наименьшие баллы</t>
  </si>
  <si>
    <t>ВПР</t>
  </si>
  <si>
    <t>Артикул</t>
  </si>
  <si>
    <t>Название товара</t>
  </si>
  <si>
    <t>Продано, шт.</t>
  </si>
  <si>
    <t>Цена, руб.</t>
  </si>
  <si>
    <t>Джинсы</t>
  </si>
  <si>
    <t>Кроссовки</t>
  </si>
  <si>
    <t>Футболка</t>
  </si>
  <si>
    <t>Рубашка</t>
  </si>
  <si>
    <t>Куртка</t>
  </si>
  <si>
    <t>Носки</t>
  </si>
  <si>
    <t>Костюм</t>
  </si>
  <si>
    <t>Брюки</t>
  </si>
  <si>
    <t>Толстовка</t>
  </si>
  <si>
    <t>Ветровка</t>
  </si>
  <si>
    <t>Ботинки</t>
  </si>
  <si>
    <t>ЕСЛИОШИБКА</t>
  </si>
  <si>
    <t>Сумма</t>
  </si>
  <si>
    <t>Количество</t>
  </si>
  <si>
    <t>Средняя цена</t>
  </si>
  <si>
    <t>// скрывает ошибку #ДЕЛ/0!</t>
  </si>
  <si>
    <t>ПОИСКПОЗ</t>
  </si>
  <si>
    <t>ИНДЕКС</t>
  </si>
  <si>
    <t>Название</t>
  </si>
  <si>
    <t>Высота</t>
  </si>
  <si>
    <t>Место</t>
  </si>
  <si>
    <t>Бурдж-Халифа</t>
  </si>
  <si>
    <t>Дубай</t>
  </si>
  <si>
    <t>Merdeka 118</t>
  </si>
  <si>
    <t>Куала-Лумпур</t>
  </si>
  <si>
    <t>Tokyo Skytree</t>
  </si>
  <si>
    <t>Токио</t>
  </si>
  <si>
    <t>Шанхайская башня</t>
  </si>
  <si>
    <t>Шанхай</t>
  </si>
  <si>
    <t>Телерадиомачта KVLY-TV</t>
  </si>
  <si>
    <t>округ Трейлл</t>
  </si>
  <si>
    <t>Телебашня Гуанчжоу</t>
  </si>
  <si>
    <t>Гуанчжоу</t>
  </si>
  <si>
    <t>Королевская часовая башня</t>
  </si>
  <si>
    <t>Мекка</t>
  </si>
  <si>
    <t>Goldin Finance 117</t>
  </si>
  <si>
    <t>Тяньцзинь</t>
  </si>
  <si>
    <t>Башня Lotte World</t>
  </si>
  <si>
    <t>Сеул</t>
  </si>
  <si>
    <t>Си-Эн Тауэр</t>
  </si>
  <si>
    <t>Торонто</t>
  </si>
  <si>
    <t>Останкинская телебашня</t>
  </si>
  <si>
    <t>РАНГ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</si>
</sst>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#\ ##0.0"/>
    <numFmt numFmtId="181" formatCode="#\ ##0"/>
    <numFmt numFmtId="182" formatCode="dd\.mm\.yyyy"/>
    <numFmt numFmtId="183" formatCode="0.0"/>
    <numFmt numFmtId="184" formatCode="#\ ##0\ &quot;₽&quot;"/>
    <numFmt numFmtId="185" formatCode="dd/mm/yy\ h:mm;@"/>
    <numFmt numFmtId="186" formatCode="#\ ##0.00\ &quot;₽&quot;"/>
    <numFmt numFmtId="187" formatCode="0.00000000000000000000"/>
    <numFmt numFmtId="188" formatCode="0.0000000"/>
    <numFmt numFmtId="189" formatCode="0.000"/>
    <numFmt numFmtId="190" formatCode="dd/mm/yy;@"/>
  </numFmts>
  <fonts count="34"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rgb="FFFF6E40"/>
      <name val="Calibri"/>
      <charset val="134"/>
      <scheme val="minor"/>
    </font>
    <font>
      <sz val="11"/>
      <color theme="0" tint="-0.499984740745262"/>
      <name val="Calibri"/>
      <charset val="204"/>
      <scheme val="minor"/>
    </font>
    <font>
      <u/>
      <sz val="11"/>
      <color theme="10"/>
      <name val="Calibri"/>
      <charset val="204"/>
      <scheme val="minor"/>
    </font>
    <font>
      <b/>
      <sz val="11"/>
      <color rgb="FFFF6E40"/>
      <name val="Calibri"/>
      <charset val="134"/>
      <scheme val="minor"/>
    </font>
    <font>
      <sz val="12"/>
      <color theme="1"/>
      <name val="Calibri"/>
      <charset val="204"/>
      <scheme val="minor"/>
    </font>
    <font>
      <sz val="12"/>
      <color rgb="FFFF6E40"/>
      <name val="Calibri"/>
      <charset val="20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9"/>
      <color theme="1"/>
      <name val="Calibri"/>
      <charset val="204"/>
      <scheme val="minor"/>
    </font>
    <font>
      <sz val="10"/>
      <color theme="1"/>
      <name val="Arial Narrow"/>
      <charset val="204"/>
    </font>
    <font>
      <sz val="14"/>
      <color theme="1"/>
      <name val="Arial Black"/>
      <charset val="204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E2589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6E4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14" fillId="0" borderId="0" applyFont="0" applyFill="0" applyBorder="0" applyAlignment="0" applyProtection="0">
      <alignment vertical="center"/>
    </xf>
    <xf numFmtId="179" fontId="1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4" fillId="6" borderId="6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9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9" borderId="11" applyNumberFormat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10" fillId="0" borderId="0"/>
    <xf numFmtId="0" fontId="10" fillId="0" borderId="0"/>
  </cellStyleXfs>
  <cellXfs count="8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1" xfId="0" applyBorder="1"/>
    <xf numFmtId="180" fontId="0" fillId="0" borderId="1" xfId="0" applyNumberFormat="1" applyBorder="1"/>
    <xf numFmtId="181" fontId="0" fillId="3" borderId="1" xfId="0" applyNumberFormat="1" applyFill="1" applyBorder="1"/>
    <xf numFmtId="0" fontId="4" fillId="0" borderId="0" xfId="0" applyFont="1"/>
    <xf numFmtId="0" fontId="0" fillId="0" borderId="1" xfId="0" applyFont="1" applyBorder="1"/>
    <xf numFmtId="182" fontId="0" fillId="0" borderId="0" xfId="0" applyNumberFormat="1"/>
    <xf numFmtId="0" fontId="5" fillId="0" borderId="0" xfId="6"/>
    <xf numFmtId="0" fontId="6" fillId="0" borderId="0" xfId="0" applyFont="1" applyAlignment="1">
      <alignment horizontal="center"/>
    </xf>
    <xf numFmtId="181" fontId="0" fillId="0" borderId="1" xfId="0" applyNumberFormat="1" applyBorder="1"/>
    <xf numFmtId="183" fontId="7" fillId="3" borderId="0" xfId="0" applyNumberFormat="1" applyFont="1" applyFill="1"/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84" fontId="0" fillId="0" borderId="1" xfId="0" applyNumberFormat="1" applyBorder="1"/>
    <xf numFmtId="0" fontId="4" fillId="0" borderId="0" xfId="0" applyFont="1" applyAlignment="1">
      <alignment horizontal="left" indent="2"/>
    </xf>
    <xf numFmtId="0" fontId="0" fillId="0" borderId="0" xfId="0" applyAlignment="1">
      <alignment vertical="center"/>
    </xf>
    <xf numFmtId="0" fontId="2" fillId="2" borderId="0" xfId="0" applyFont="1" applyFill="1" applyAlignment="1">
      <alignment horizontal="center" vertical="center"/>
    </xf>
    <xf numFmtId="184" fontId="0" fillId="3" borderId="1" xfId="0" applyNumberFormat="1" applyFill="1" applyBorder="1"/>
    <xf numFmtId="184" fontId="0" fillId="0" borderId="0" xfId="0" applyNumberFormat="1"/>
    <xf numFmtId="0" fontId="2" fillId="2" borderId="2" xfId="0" applyFont="1" applyFill="1" applyBorder="1" applyAlignment="1">
      <alignment horizontal="center" vertical="center"/>
    </xf>
    <xf numFmtId="0" fontId="0" fillId="5" borderId="1" xfId="0" applyFill="1" applyBorder="1"/>
    <xf numFmtId="181" fontId="0" fillId="5" borderId="1" xfId="0" applyNumberFormat="1" applyFill="1" applyBorder="1"/>
    <xf numFmtId="0" fontId="1" fillId="0" borderId="0" xfId="0" applyFont="1" applyAlignment="1">
      <alignment horizontal="left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8" fillId="0" borderId="0" xfId="0" applyFont="1"/>
    <xf numFmtId="9" fontId="0" fillId="0" borderId="1" xfId="3" applyFont="1" applyBorder="1"/>
    <xf numFmtId="182" fontId="0" fillId="0" borderId="1" xfId="0" applyNumberFormat="1" applyBorder="1"/>
    <xf numFmtId="185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35" fontId="0" fillId="0" borderId="1" xfId="0" applyNumberFormat="1" applyBorder="1"/>
    <xf numFmtId="9" fontId="0" fillId="0" borderId="1" xfId="0" applyNumberFormat="1" applyBorder="1"/>
    <xf numFmtId="0" fontId="9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/>
    <xf numFmtId="2" fontId="0" fillId="3" borderId="1" xfId="0" applyNumberFormat="1" applyFill="1" applyBorder="1"/>
    <xf numFmtId="186" fontId="0" fillId="0" borderId="1" xfId="0" applyNumberFormat="1" applyBorder="1"/>
    <xf numFmtId="2" fontId="0" fillId="0" borderId="1" xfId="0" applyNumberFormat="1" applyBorder="1"/>
    <xf numFmtId="187" fontId="0" fillId="0" borderId="0" xfId="0" applyNumberFormat="1"/>
    <xf numFmtId="188" fontId="0" fillId="0" borderId="1" xfId="0" applyNumberFormat="1" applyBorder="1"/>
    <xf numFmtId="0" fontId="4" fillId="0" borderId="1" xfId="0" applyFont="1" applyBorder="1"/>
    <xf numFmtId="0" fontId="0" fillId="0" borderId="0" xfId="0" applyFont="1"/>
    <xf numFmtId="184" fontId="0" fillId="0" borderId="1" xfId="0" applyNumberFormat="1" applyFont="1" applyBorder="1"/>
    <xf numFmtId="0" fontId="2" fillId="4" borderId="1" xfId="0" applyFont="1" applyFill="1" applyBorder="1" applyAlignment="1">
      <alignment horizontal="left" vertical="center"/>
    </xf>
    <xf numFmtId="1" fontId="0" fillId="5" borderId="1" xfId="0" applyNumberFormat="1" applyFill="1" applyBorder="1"/>
    <xf numFmtId="182" fontId="0" fillId="3" borderId="1" xfId="0" applyNumberFormat="1" applyFill="1" applyBorder="1"/>
    <xf numFmtId="0" fontId="10" fillId="0" borderId="0" xfId="51"/>
    <xf numFmtId="0" fontId="1" fillId="0" borderId="0" xfId="51" applyFont="1"/>
    <xf numFmtId="0" fontId="1" fillId="0" borderId="0" xfId="51" applyFont="1" applyAlignment="1">
      <alignment horizontal="center"/>
    </xf>
    <xf numFmtId="0" fontId="1" fillId="0" borderId="0" xfId="51" applyFont="1" applyAlignment="1">
      <alignment horizontal="right"/>
    </xf>
    <xf numFmtId="0" fontId="4" fillId="0" borderId="0" xfId="51" applyFont="1"/>
    <xf numFmtId="0" fontId="2" fillId="2" borderId="1" xfId="51" applyFont="1" applyFill="1" applyBorder="1" applyAlignment="1">
      <alignment horizontal="center" vertical="center"/>
    </xf>
    <xf numFmtId="0" fontId="2" fillId="2" borderId="5" xfId="51" applyFont="1" applyFill="1" applyBorder="1" applyAlignment="1">
      <alignment horizontal="center" vertical="center"/>
    </xf>
    <xf numFmtId="0" fontId="10" fillId="0" borderId="1" xfId="51" applyBorder="1"/>
    <xf numFmtId="2" fontId="10" fillId="3" borderId="1" xfId="51" applyNumberFormat="1" applyFill="1" applyBorder="1"/>
    <xf numFmtId="1" fontId="10" fillId="0" borderId="1" xfId="51" applyNumberFormat="1" applyBorder="1"/>
    <xf numFmtId="182" fontId="11" fillId="0" borderId="1" xfId="51" applyNumberFormat="1" applyFont="1" applyBorder="1"/>
    <xf numFmtId="20" fontId="10" fillId="0" borderId="1" xfId="51" applyNumberFormat="1" applyBorder="1"/>
    <xf numFmtId="0" fontId="5" fillId="0" borderId="0" xfId="49"/>
    <xf numFmtId="0" fontId="10" fillId="0" borderId="0" xfId="50"/>
    <xf numFmtId="0" fontId="1" fillId="0" borderId="0" xfId="50" applyFont="1"/>
    <xf numFmtId="0" fontId="1" fillId="0" borderId="0" xfId="50" applyFont="1" applyAlignment="1">
      <alignment horizontal="left"/>
    </xf>
    <xf numFmtId="0" fontId="10" fillId="0" borderId="0" xfId="50" applyAlignment="1">
      <alignment horizontal="left"/>
    </xf>
    <xf numFmtId="0" fontId="1" fillId="0" borderId="0" xfId="50" applyFont="1" applyAlignment="1">
      <alignment horizontal="right"/>
    </xf>
    <xf numFmtId="0" fontId="4" fillId="0" borderId="0" xfId="50" applyFont="1"/>
    <xf numFmtId="0" fontId="2" fillId="2" borderId="1" xfId="50" applyFont="1" applyFill="1" applyBorder="1" applyAlignment="1">
      <alignment horizontal="center" vertical="center"/>
    </xf>
    <xf numFmtId="0" fontId="2" fillId="2" borderId="5" xfId="50" applyFont="1" applyFill="1" applyBorder="1" applyAlignment="1">
      <alignment horizontal="center" vertical="center"/>
    </xf>
    <xf numFmtId="0" fontId="10" fillId="0" borderId="1" xfId="50" applyBorder="1"/>
    <xf numFmtId="1" fontId="10" fillId="0" borderId="1" xfId="50" applyNumberFormat="1" applyBorder="1"/>
    <xf numFmtId="1" fontId="10" fillId="3" borderId="1" xfId="50" applyNumberFormat="1" applyFill="1" applyBorder="1"/>
    <xf numFmtId="183" fontId="10" fillId="0" borderId="1" xfId="50" applyNumberFormat="1" applyBorder="1"/>
    <xf numFmtId="182" fontId="11" fillId="0" borderId="1" xfId="50" applyNumberFormat="1" applyFont="1" applyBorder="1"/>
    <xf numFmtId="20" fontId="10" fillId="0" borderId="1" xfId="50" applyNumberFormat="1" applyBorder="1"/>
    <xf numFmtId="0" fontId="1" fillId="0" borderId="0" xfId="0" applyFont="1" applyAlignment="1">
      <alignment horizontal="left" indent="1"/>
    </xf>
    <xf numFmtId="189" fontId="0" fillId="0" borderId="1" xfId="0" applyNumberFormat="1" applyBorder="1"/>
    <xf numFmtId="22" fontId="0" fillId="0" borderId="0" xfId="0" applyNumberFormat="1"/>
    <xf numFmtId="185" fontId="0" fillId="3" borderId="1" xfId="0" applyNumberFormat="1" applyFill="1" applyBorder="1"/>
    <xf numFmtId="190" fontId="0" fillId="0" borderId="0" xfId="0" applyNumberFormat="1"/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2" fillId="2" borderId="1" xfId="0" applyFont="1" applyFill="1" applyBorder="1" applyAlignment="1">
      <alignment horizontal="center"/>
    </xf>
    <xf numFmtId="182" fontId="0" fillId="0" borderId="1" xfId="0" applyNumberFormat="1" applyBorder="1" quotePrefix="1"/>
    <xf numFmtId="185" fontId="0" fillId="0" borderId="1" xfId="0" applyNumberFormat="1" applyBorder="1" quotePrefix="1"/>
    <xf numFmtId="22" fontId="0" fillId="0" borderId="0" xfId="0" applyNumberFormat="1" quotePrefix="1"/>
    <xf numFmtId="181" fontId="0" fillId="0" borderId="1" xfId="0" applyNumberFormat="1" applyBorder="1" quotePrefix="1"/>
    <xf numFmtId="0" fontId="4" fillId="0" borderId="0" xfId="0" applyFont="1" quotePrefix="1"/>
    <xf numFmtId="184" fontId="0" fillId="0" borderId="1" xfId="0" applyNumberFormat="1" applyBorder="1" quotePrefix="1"/>
    <xf numFmtId="0" fontId="0" fillId="0" borderId="1" xfId="0" applyBorder="1" quotePrefix="1"/>
  </cellXfs>
  <cellStyles count="52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Гиперссылка 2" xfId="49"/>
    <cellStyle name="Обычный 2" xfId="50"/>
    <cellStyle name="Обычный 3" xfId="51"/>
  </cellStyles>
  <dxfs count="1">
    <dxf>
      <fill>
        <patternFill patternType="solid">
          <bgColor theme="5" tint="0.799981688894314"/>
        </patternFill>
      </fill>
    </dxf>
  </dxfs>
  <tableStyles count="0" defaultTableStyle="TableStyleMedium2" defaultPivotStyle="PivotStyleMedium9"/>
  <colors>
    <mruColors>
      <color rgb="00DDDDDD"/>
      <color rgb="00E2589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6" Type="http://schemas.openxmlformats.org/officeDocument/2006/relationships/styles" Target="styles.xml"/><Relationship Id="rId35" Type="http://schemas.microsoft.com/office/2017/06/relationships/rdRichValue" Target="richData/rdrichvalue.xml"/><Relationship Id="rId34" Type="http://schemas.microsoft.com/office/2017/06/relationships/rdRichValueStructure" Target="richData/rdrichvaluestructure.xml"/><Relationship Id="rId33" Type="http://schemas.openxmlformats.org/officeDocument/2006/relationships/sheetMetadata" Target="metadata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0</xdr:col>
      <xdr:colOff>0</xdr:colOff>
      <xdr:row>2</xdr:row>
      <xdr:rowOff>168165</xdr:rowOff>
    </xdr:from>
    <xdr:to>
      <xdr:col>3</xdr:col>
      <xdr:colOff>572218</xdr:colOff>
      <xdr:row>9</xdr:row>
      <xdr:rowOff>168165</xdr:rowOff>
    </xdr:to>
    <xdr:sp>
      <xdr:nvSpPr>
        <xdr:cNvPr id="3" name="Прямоугольник: скругленные углы 1"/>
        <xdr:cNvSpPr/>
      </xdr:nvSpPr>
      <xdr:spPr>
        <a:xfrm>
          <a:off x="0" y="631190"/>
          <a:ext cx="2481580" cy="130175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ДАТА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соберите год, месяц и день в цельную дату.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24055</xdr:colOff>
      <xdr:row>0</xdr:row>
      <xdr:rowOff>2199</xdr:rowOff>
    </xdr:from>
    <xdr:to>
      <xdr:col>0</xdr:col>
      <xdr:colOff>543792</xdr:colOff>
      <xdr:row>1</xdr:row>
      <xdr:rowOff>0</xdr:rowOff>
    </xdr:to>
    <xdr:sp>
      <xdr:nvSpPr>
        <xdr:cNvPr id="5" name="Скругленный прямоугольник 4"/>
        <xdr:cNvSpPr/>
      </xdr:nvSpPr>
      <xdr:spPr>
        <a:xfrm>
          <a:off x="23495" y="1905"/>
          <a:ext cx="520065" cy="18224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6</xdr:col>
      <xdr:colOff>0</xdr:colOff>
      <xdr:row>3</xdr:row>
      <xdr:rowOff>1</xdr:rowOff>
    </xdr:from>
    <xdr:to>
      <xdr:col>11</xdr:col>
      <xdr:colOff>0</xdr:colOff>
      <xdr:row>7</xdr:row>
      <xdr:rowOff>1</xdr:rowOff>
    </xdr:to>
    <xdr:sp>
      <xdr:nvSpPr>
        <xdr:cNvPr id="2" name="Прямоугольник: скругленные углы 1"/>
        <xdr:cNvSpPr/>
      </xdr:nvSpPr>
      <xdr:spPr>
        <a:xfrm>
          <a:off x="5278120" y="635000"/>
          <a:ext cx="3298190" cy="74930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Из даты в столбце </a:t>
          </a:r>
          <a:r>
            <a:rPr lang="en-US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выделите день, месяц и год.</a:t>
          </a:r>
          <a:endParaRPr lang="ru-RU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26504</xdr:colOff>
      <xdr:row>0</xdr:row>
      <xdr:rowOff>6625</xdr:rowOff>
    </xdr:from>
    <xdr:to>
      <xdr:col>0</xdr:col>
      <xdr:colOff>546241</xdr:colOff>
      <xdr:row>1</xdr:row>
      <xdr:rowOff>2469</xdr:rowOff>
    </xdr:to>
    <xdr:sp>
      <xdr:nvSpPr>
        <xdr:cNvPr id="4" name="Скругленный прямоугольник 3"/>
        <xdr:cNvSpPr/>
      </xdr:nvSpPr>
      <xdr:spPr>
        <a:xfrm>
          <a:off x="26035" y="6350"/>
          <a:ext cx="520065" cy="17970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5</xdr:col>
      <xdr:colOff>0</xdr:colOff>
      <xdr:row>3</xdr:row>
      <xdr:rowOff>0</xdr:rowOff>
    </xdr:from>
    <xdr:to>
      <xdr:col>10</xdr:col>
      <xdr:colOff>0</xdr:colOff>
      <xdr:row>12</xdr:row>
      <xdr:rowOff>43813</xdr:rowOff>
    </xdr:to>
    <xdr:sp>
      <xdr:nvSpPr>
        <xdr:cNvPr id="2" name="Прямоугольник: скругленные углы 2"/>
        <xdr:cNvSpPr/>
      </xdr:nvSpPr>
      <xdr:spPr>
        <a:xfrm>
          <a:off x="4493260" y="635000"/>
          <a:ext cx="3298190" cy="171323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формул поставьте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в столбце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Премия</a:t>
          </a:r>
          <a:endParaRPr lang="ru-RU" sz="1100" b="1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Да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напротив сотрудников, совершивших продаж на 90 000 руб. и более;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Нет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если условие не выполнено.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baseline="0">
              <a:solidFill>
                <a:schemeClr val="bg1">
                  <a:lumMod val="65000"/>
                </a:schemeClr>
              </a:solidFill>
              <a:effectLst/>
              <a:latin typeface="+mn-lt"/>
              <a:ea typeface="+mn-ea"/>
              <a:cs typeface="+mn-cs"/>
            </a:rPr>
            <a:t>Ответ: премию получают 6 человек.</a:t>
          </a:r>
          <a:endParaRPr lang="ru-RU" sz="1100" baseline="0">
            <a:solidFill>
              <a:schemeClr val="bg1">
                <a:lumMod val="65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256673</xdr:colOff>
      <xdr:row>4</xdr:row>
      <xdr:rowOff>953</xdr:rowOff>
    </xdr:from>
    <xdr:to>
      <xdr:col>11</xdr:col>
      <xdr:colOff>26168</xdr:colOff>
      <xdr:row>7</xdr:row>
      <xdr:rowOff>27623</xdr:rowOff>
    </xdr:to>
    <xdr:sp>
      <xdr:nvSpPr>
        <xdr:cNvPr id="2" name="TextBox 1"/>
        <xdr:cNvSpPr txBox="1"/>
      </xdr:nvSpPr>
      <xdr:spPr>
        <a:xfrm>
          <a:off x="4812665" y="832485"/>
          <a:ext cx="3222625" cy="57912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400" b="1" kern="1200">
              <a:solidFill>
                <a:schemeClr val="bg1">
                  <a:lumMod val="50000"/>
                </a:schemeClr>
              </a:solidFill>
            </a:rPr>
            <a:t>И</a:t>
          </a:r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 : проверка "Кол-во"</a:t>
          </a:r>
          <a:endParaRPr lang="ru-RU" sz="1400" kern="1200" baseline="0">
            <a:solidFill>
              <a:schemeClr val="bg1">
                <a:lumMod val="50000"/>
              </a:schemeClr>
            </a:solidFill>
          </a:endParaRPr>
        </a:p>
        <a:p>
          <a:pPr algn="ctr"/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больше 100 И меньше 130</a:t>
          </a:r>
          <a:endParaRPr lang="ru-RU" sz="1400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6</xdr:col>
      <xdr:colOff>317658</xdr:colOff>
      <xdr:row>9</xdr:row>
      <xdr:rowOff>7620</xdr:rowOff>
    </xdr:from>
    <xdr:to>
      <xdr:col>10</xdr:col>
      <xdr:colOff>574782</xdr:colOff>
      <xdr:row>12</xdr:row>
      <xdr:rowOff>30480</xdr:rowOff>
    </xdr:to>
    <xdr:sp>
      <xdr:nvSpPr>
        <xdr:cNvPr id="3" name="TextBox 2"/>
        <xdr:cNvSpPr txBox="1"/>
      </xdr:nvSpPr>
      <xdr:spPr>
        <a:xfrm>
          <a:off x="4873625" y="1760220"/>
          <a:ext cx="3081655" cy="57531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400" b="1" kern="1200">
              <a:solidFill>
                <a:schemeClr val="bg1">
                  <a:lumMod val="50000"/>
                </a:schemeClr>
              </a:solidFill>
            </a:rPr>
            <a:t>ИЛИ</a:t>
          </a:r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 : проверка "Цвет"</a:t>
          </a:r>
          <a:endParaRPr lang="ru-RU" sz="1400" kern="1200" baseline="0">
            <a:solidFill>
              <a:schemeClr val="bg1">
                <a:lumMod val="50000"/>
              </a:schemeClr>
            </a:solidFill>
          </a:endParaRPr>
        </a:p>
        <a:p>
          <a:pPr algn="ctr"/>
          <a:r>
            <a:rPr lang="ru-RU" sz="1400" kern="1200" baseline="0">
              <a:solidFill>
                <a:schemeClr val="bg1">
                  <a:lumMod val="50000"/>
                </a:schemeClr>
              </a:solidFill>
            </a:rPr>
            <a:t>является "Красным" ИЛИ "Синим"</a:t>
          </a:r>
          <a:endParaRPr lang="ru-RU" sz="1400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4" name="Скругленный прямоугольник 3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6</xdr:col>
      <xdr:colOff>0</xdr:colOff>
      <xdr:row>8</xdr:row>
      <xdr:rowOff>0</xdr:rowOff>
    </xdr:from>
    <xdr:to>
      <xdr:col>10</xdr:col>
      <xdr:colOff>0</xdr:colOff>
      <xdr:row>15</xdr:row>
      <xdr:rowOff>182879</xdr:rowOff>
    </xdr:to>
    <xdr:sp>
      <xdr:nvSpPr>
        <xdr:cNvPr id="2" name="Прямоугольник: скругленные углы 1"/>
        <xdr:cNvSpPr/>
      </xdr:nvSpPr>
      <xdr:spPr>
        <a:xfrm>
          <a:off x="5090795" y="1568450"/>
          <a:ext cx="3360420" cy="1471295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СЧЁТЕСЛИ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посчитайте количество ресторанов, соответствующих  условиям в столбце </a:t>
          </a:r>
          <a:r>
            <a:rPr lang="en-US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ru-RU" sz="1100" baseline="0">
              <a:solidFill>
                <a:schemeClr val="bg1">
                  <a:lumMod val="65000"/>
                </a:schemeClr>
              </a:solidFill>
              <a:effectLst/>
              <a:latin typeface="+mn-lt"/>
              <a:ea typeface="+mn-ea"/>
              <a:cs typeface="+mn-cs"/>
            </a:rPr>
            <a:t>Ответ: 6; 4; 3</a:t>
          </a:r>
          <a:endParaRPr lang="ru-RU" sz="1100" baseline="0">
            <a:solidFill>
              <a:schemeClr val="bg1">
                <a:lumMod val="65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525780</xdr:colOff>
      <xdr:row>13</xdr:row>
      <xdr:rowOff>0</xdr:rowOff>
    </xdr:from>
    <xdr:to>
      <xdr:col>2</xdr:col>
      <xdr:colOff>358140</xdr:colOff>
      <xdr:row>15</xdr:row>
      <xdr:rowOff>45720</xdr:rowOff>
    </xdr:to>
    <xdr:grpSp>
      <xdr:nvGrpSpPr>
        <xdr:cNvPr id="2" name="Группа 1"/>
        <xdr:cNvGrpSpPr/>
      </xdr:nvGrpSpPr>
      <xdr:grpSpPr>
        <a:xfrm>
          <a:off x="525780" y="2489200"/>
          <a:ext cx="1633220" cy="414020"/>
          <a:chOff x="525780" y="2457450"/>
          <a:chExt cx="1480185" cy="407670"/>
        </a:xfrm>
      </xdr:grpSpPr>
      <xdr:sp>
        <xdr:nvSpPr>
          <xdr:cNvPr id="3" name="TextBox 2"/>
          <xdr:cNvSpPr txBox="1"/>
        </xdr:nvSpPr>
        <xdr:spPr>
          <a:xfrm>
            <a:off x="525780" y="2457450"/>
            <a:ext cx="579120" cy="2876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0" kern="1200">
                <a:solidFill>
                  <a:srgbClr val="FF6E40"/>
                </a:solidFill>
              </a:rPr>
              <a:t>1</a:t>
            </a:r>
            <a:endParaRPr lang="ru-RU" sz="1400" i="0" kern="1200">
              <a:solidFill>
                <a:srgbClr val="FF6E40"/>
              </a:solidFill>
            </a:endParaRPr>
          </a:p>
        </xdr:txBody>
      </xdr:sp>
      <xdr:sp>
        <xdr:nvSpPr>
          <xdr:cNvPr id="4" name="TextBox 3"/>
          <xdr:cNvSpPr txBox="1"/>
        </xdr:nvSpPr>
        <xdr:spPr>
          <a:xfrm>
            <a:off x="731520" y="2457450"/>
            <a:ext cx="1274445" cy="40767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Диапазон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3</xdr:col>
      <xdr:colOff>7620</xdr:colOff>
      <xdr:row>13</xdr:row>
      <xdr:rowOff>0</xdr:rowOff>
    </xdr:from>
    <xdr:to>
      <xdr:col>4</xdr:col>
      <xdr:colOff>388620</xdr:colOff>
      <xdr:row>16</xdr:row>
      <xdr:rowOff>114300</xdr:rowOff>
    </xdr:to>
    <xdr:grpSp>
      <xdr:nvGrpSpPr>
        <xdr:cNvPr id="5" name="Группа 4"/>
        <xdr:cNvGrpSpPr/>
      </xdr:nvGrpSpPr>
      <xdr:grpSpPr>
        <a:xfrm>
          <a:off x="2964815" y="2489200"/>
          <a:ext cx="1591945" cy="666750"/>
          <a:chOff x="2674620" y="2457450"/>
          <a:chExt cx="1447800" cy="657225"/>
        </a:xfrm>
      </xdr:grpSpPr>
      <xdr:sp>
        <xdr:nvSpPr>
          <xdr:cNvPr id="6" name="TextBox 5"/>
          <xdr:cNvSpPr txBox="1"/>
        </xdr:nvSpPr>
        <xdr:spPr>
          <a:xfrm>
            <a:off x="2674620" y="2480310"/>
            <a:ext cx="579120" cy="2876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0" kern="1200">
                <a:solidFill>
                  <a:srgbClr val="FF6E40"/>
                </a:solidFill>
              </a:rPr>
              <a:t>3</a:t>
            </a:r>
            <a:endParaRPr lang="ru-RU" sz="1400" i="0" kern="1200">
              <a:solidFill>
                <a:srgbClr val="FF6E40"/>
              </a:solidFill>
            </a:endParaRPr>
          </a:p>
        </xdr:txBody>
      </xdr:sp>
      <xdr:sp>
        <xdr:nvSpPr>
          <xdr:cNvPr id="7" name="TextBox 6"/>
          <xdr:cNvSpPr txBox="1"/>
        </xdr:nvSpPr>
        <xdr:spPr>
          <a:xfrm>
            <a:off x="2849880" y="2457450"/>
            <a:ext cx="1272540" cy="657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Диапазон суммирования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495300</xdr:colOff>
      <xdr:row>5</xdr:row>
      <xdr:rowOff>0</xdr:rowOff>
    </xdr:from>
    <xdr:to>
      <xdr:col>8</xdr:col>
      <xdr:colOff>15240</xdr:colOff>
      <xdr:row>8</xdr:row>
      <xdr:rowOff>129540</xdr:rowOff>
    </xdr:to>
    <xdr:grpSp>
      <xdr:nvGrpSpPr>
        <xdr:cNvPr id="8" name="Группа 7"/>
        <xdr:cNvGrpSpPr/>
      </xdr:nvGrpSpPr>
      <xdr:grpSpPr>
        <a:xfrm>
          <a:off x="5229860" y="1016000"/>
          <a:ext cx="1925320" cy="681990"/>
          <a:chOff x="4733925" y="1009650"/>
          <a:chExt cx="1648778" cy="672465"/>
        </a:xfrm>
      </xdr:grpSpPr>
      <xdr:sp>
        <xdr:nvSpPr>
          <xdr:cNvPr id="9" name="TextBox 8"/>
          <xdr:cNvSpPr txBox="1"/>
        </xdr:nvSpPr>
        <xdr:spPr>
          <a:xfrm>
            <a:off x="4733925" y="1009650"/>
            <a:ext cx="579120" cy="28765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0" kern="1200">
                <a:solidFill>
                  <a:srgbClr val="FF6E40"/>
                </a:solidFill>
              </a:rPr>
              <a:t>2</a:t>
            </a:r>
            <a:endParaRPr lang="ru-RU" sz="1400" i="0" kern="1200">
              <a:solidFill>
                <a:srgbClr val="FF6E40"/>
              </a:solidFill>
            </a:endParaRPr>
          </a:p>
        </xdr:txBody>
      </xdr:sp>
      <xdr:sp>
        <xdr:nvSpPr>
          <xdr:cNvPr id="10" name="TextBox 9"/>
          <xdr:cNvSpPr txBox="1"/>
        </xdr:nvSpPr>
        <xdr:spPr>
          <a:xfrm>
            <a:off x="4939665" y="1024890"/>
            <a:ext cx="1443038" cy="657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Критерий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404813</xdr:colOff>
      <xdr:row>8</xdr:row>
      <xdr:rowOff>66675</xdr:rowOff>
    </xdr:from>
    <xdr:to>
      <xdr:col>11</xdr:col>
      <xdr:colOff>420053</xdr:colOff>
      <xdr:row>16</xdr:row>
      <xdr:rowOff>45720</xdr:rowOff>
    </xdr:to>
    <xdr:sp>
      <xdr:nvSpPr>
        <xdr:cNvPr id="11" name="TextBox 10"/>
        <xdr:cNvSpPr txBox="1"/>
      </xdr:nvSpPr>
      <xdr:spPr>
        <a:xfrm>
          <a:off x="5139055" y="1635125"/>
          <a:ext cx="4306570" cy="14522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 i="1" kern="1200">
              <a:solidFill>
                <a:schemeClr val="bg1">
                  <a:lumMod val="50000"/>
                </a:schemeClr>
              </a:solidFill>
            </a:rPr>
            <a:t>Сумма всех заказов из "Москвы" - 33 000.</a:t>
          </a:r>
          <a:endParaRPr lang="ru-RU" sz="1400" i="1" kern="1200">
            <a:solidFill>
              <a:schemeClr val="bg1">
                <a:lumMod val="50000"/>
              </a:schemeClr>
            </a:solidFill>
          </a:endParaRPr>
        </a:p>
        <a:p>
          <a:r>
            <a:rPr lang="ru-RU" sz="1400" i="1" kern="1200">
              <a:solidFill>
                <a:schemeClr val="bg1">
                  <a:lumMod val="50000"/>
                </a:schemeClr>
              </a:solidFill>
            </a:rPr>
            <a:t>1. Диапазон</a:t>
          </a:r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 = </a:t>
          </a:r>
          <a:r>
            <a:rPr lang="en-US" sz="1400" i="1" kern="1200" baseline="0">
              <a:solidFill>
                <a:schemeClr val="bg1">
                  <a:lumMod val="50000"/>
                </a:schemeClr>
              </a:solidFill>
            </a:rPr>
            <a:t>B:B</a:t>
          </a:r>
          <a:endParaRPr lang="ru-RU" sz="1400" i="1" kern="1200" baseline="0">
            <a:solidFill>
              <a:schemeClr val="bg1">
                <a:lumMod val="50000"/>
              </a:schemeClr>
            </a:solidFill>
          </a:endParaRPr>
        </a:p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2. Критерий = </a:t>
          </a:r>
          <a:r>
            <a:rPr lang="en-US" sz="1400" i="1" kern="1200" baseline="0">
              <a:solidFill>
                <a:schemeClr val="bg1">
                  <a:lumMod val="50000"/>
                </a:schemeClr>
              </a:solidFill>
            </a:rPr>
            <a:t>G5</a:t>
          </a:r>
          <a:endParaRPr lang="ru-RU" sz="1400" i="1" kern="1200" baseline="0">
            <a:solidFill>
              <a:schemeClr val="bg1">
                <a:lumMod val="50000"/>
              </a:schemeClr>
            </a:solidFill>
          </a:endParaRPr>
        </a:p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3. Диапазон суммирования = </a:t>
          </a:r>
          <a:r>
            <a:rPr lang="en-US" sz="1400" i="1" kern="1200" baseline="0">
              <a:solidFill>
                <a:schemeClr val="bg1">
                  <a:lumMod val="50000"/>
                </a:schemeClr>
              </a:solidFill>
            </a:rPr>
            <a:t>D:D</a:t>
          </a:r>
          <a:endParaRPr lang="ru-RU" sz="1400" i="1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12" name="Скругленный прямоугольник 1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6</xdr:col>
      <xdr:colOff>0</xdr:colOff>
      <xdr:row>3</xdr:row>
      <xdr:rowOff>0</xdr:rowOff>
    </xdr:from>
    <xdr:to>
      <xdr:col>11</xdr:col>
      <xdr:colOff>19049</xdr:colOff>
      <xdr:row>9</xdr:row>
      <xdr:rowOff>156211</xdr:rowOff>
    </xdr:to>
    <xdr:sp>
      <xdr:nvSpPr>
        <xdr:cNvPr id="2" name="Прямоугольник: скругленные углы 1"/>
        <xdr:cNvSpPr/>
      </xdr:nvSpPr>
      <xdr:spPr>
        <a:xfrm>
          <a:off x="4493260" y="635000"/>
          <a:ext cx="3161665" cy="131191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функций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МИН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МАКС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вычислите минимальный и максимальный балл из списка. 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5</xdr:col>
      <xdr:colOff>0</xdr:colOff>
      <xdr:row>3</xdr:row>
      <xdr:rowOff>0</xdr:rowOff>
    </xdr:from>
    <xdr:to>
      <xdr:col>9</xdr:col>
      <xdr:colOff>337184</xdr:colOff>
      <xdr:row>10</xdr:row>
      <xdr:rowOff>23813</xdr:rowOff>
    </xdr:to>
    <xdr:sp>
      <xdr:nvSpPr>
        <xdr:cNvPr id="2" name="Прямоугольник: скругленные углы 1"/>
        <xdr:cNvSpPr/>
      </xdr:nvSpPr>
      <xdr:spPr>
        <a:xfrm>
          <a:off x="4633595" y="635000"/>
          <a:ext cx="3161030" cy="1325245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Из приведенного списка создайте актуальный список кодов для 2026 года, используя функцию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ЗАМЕНИТЬ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2" name="Скругленный прямоугольник 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6</xdr:col>
      <xdr:colOff>594360</xdr:colOff>
      <xdr:row>3</xdr:row>
      <xdr:rowOff>0</xdr:rowOff>
    </xdr:from>
    <xdr:to>
      <xdr:col>12</xdr:col>
      <xdr:colOff>3809</xdr:colOff>
      <xdr:row>9</xdr:row>
      <xdr:rowOff>156211</xdr:rowOff>
    </xdr:to>
    <xdr:sp>
      <xdr:nvSpPr>
        <xdr:cNvPr id="2" name="Прямоугольник: скругленные углы 1"/>
        <xdr:cNvSpPr/>
      </xdr:nvSpPr>
      <xdr:spPr>
        <a:xfrm>
          <a:off x="4909185" y="635000"/>
          <a:ext cx="3180715" cy="131191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функций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НАИБОЛЬШИЙ 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НАИМЕНЬШИЙ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составьте рейтинг 3х самых высоких и самых низких баллов.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462193</xdr:colOff>
      <xdr:row>15</xdr:row>
      <xdr:rowOff>24701</xdr:rowOff>
    </xdr:from>
    <xdr:to>
      <xdr:col>5</xdr:col>
      <xdr:colOff>233593</xdr:colOff>
      <xdr:row>20</xdr:row>
      <xdr:rowOff>55181</xdr:rowOff>
    </xdr:to>
    <xdr:grpSp>
      <xdr:nvGrpSpPr>
        <xdr:cNvPr id="2" name="Группа 1"/>
        <xdr:cNvGrpSpPr/>
      </xdr:nvGrpSpPr>
      <xdr:grpSpPr>
        <a:xfrm>
          <a:off x="461645" y="2881630"/>
          <a:ext cx="5056505" cy="951230"/>
          <a:chOff x="693420" y="2904534"/>
          <a:chExt cx="4495800" cy="950135"/>
        </a:xfrm>
      </xdr:grpSpPr>
      <xdr:sp>
        <xdr:nvSpPr>
          <xdr:cNvPr id="3" name="TextBox 2"/>
          <xdr:cNvSpPr txBox="1"/>
        </xdr:nvSpPr>
        <xdr:spPr>
          <a:xfrm>
            <a:off x="693420" y="2912154"/>
            <a:ext cx="1432034" cy="942515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Поиск</a:t>
            </a:r>
            <a:r>
              <a:rPr lang="ru-RU" sz="1400" i="1" kern="1200" baseline="0">
                <a:solidFill>
                  <a:schemeClr val="bg1">
                    <a:lumMod val="50000"/>
                  </a:schemeClr>
                </a:solidFill>
              </a:rPr>
              <a:t> искомого значения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sp>
        <xdr:nvSpPr>
          <xdr:cNvPr id="4" name="TextBox 3"/>
          <xdr:cNvSpPr txBox="1"/>
        </xdr:nvSpPr>
        <xdr:spPr>
          <a:xfrm>
            <a:off x="3917468" y="2904534"/>
            <a:ext cx="1271752" cy="69762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Столбец</a:t>
            </a:r>
            <a:r>
              <a:rPr lang="ru-RU" sz="1400" i="1" kern="1200" baseline="0">
                <a:solidFill>
                  <a:schemeClr val="bg1">
                    <a:lumMod val="50000"/>
                  </a:schemeClr>
                </a:solidFill>
              </a:rPr>
              <a:t> результатов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cxnSp>
        <xdr:nvCxnSpPr>
          <xdr:cNvPr id="5" name="Прямая со стрелкой 4"/>
          <xdr:cNvCxnSpPr/>
        </xdr:nvCxnSpPr>
        <xdr:spPr>
          <a:xfrm>
            <a:off x="2178794" y="3164665"/>
            <a:ext cx="1485375" cy="0"/>
          </a:xfrm>
          <a:prstGeom prst="straightConnector1">
            <a:avLst/>
          </a:prstGeom>
          <a:ln w="38100">
            <a:solidFill>
              <a:srgbClr val="FF6E40"/>
            </a:solidFill>
            <a:tailEnd type="triangle"/>
          </a:ln>
        </xdr:spPr>
        <xdr:style>
          <a:lnRef idx="3">
            <a:schemeClr val="accent2"/>
          </a:lnRef>
          <a:fillRef idx="0">
            <a:schemeClr val="accent2"/>
          </a:fillRef>
          <a:effectRef idx="2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78039</xdr:colOff>
      <xdr:row>5</xdr:row>
      <xdr:rowOff>63062</xdr:rowOff>
    </xdr:from>
    <xdr:to>
      <xdr:col>7</xdr:col>
      <xdr:colOff>230439</xdr:colOff>
      <xdr:row>11</xdr:row>
      <xdr:rowOff>1051</xdr:rowOff>
    </xdr:to>
    <xdr:grpSp>
      <xdr:nvGrpSpPr>
        <xdr:cNvPr id="6" name="Группа 5"/>
        <xdr:cNvGrpSpPr/>
      </xdr:nvGrpSpPr>
      <xdr:grpSpPr>
        <a:xfrm>
          <a:off x="5991225" y="1078865"/>
          <a:ext cx="1285240" cy="1042670"/>
          <a:chOff x="5433060" y="1057603"/>
          <a:chExt cx="1150883" cy="1041576"/>
        </a:xfrm>
      </xdr:grpSpPr>
      <xdr:sp>
        <xdr:nvSpPr>
          <xdr:cNvPr id="7" name="TextBox 6"/>
          <xdr:cNvSpPr txBox="1"/>
        </xdr:nvSpPr>
        <xdr:spPr>
          <a:xfrm>
            <a:off x="5433060" y="1402606"/>
            <a:ext cx="1150883" cy="696573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>
                <a:solidFill>
                  <a:schemeClr val="bg1">
                    <a:lumMod val="50000"/>
                  </a:schemeClr>
                </a:solidFill>
              </a:rPr>
              <a:t>Искомое значение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cxnSp>
        <xdr:nvCxnSpPr>
          <xdr:cNvPr id="8" name="Прямая со стрелкой 7"/>
          <xdr:cNvCxnSpPr/>
        </xdr:nvCxnSpPr>
        <xdr:spPr>
          <a:xfrm flipV="1">
            <a:off x="5897880" y="1057603"/>
            <a:ext cx="0" cy="337383"/>
          </a:xfrm>
          <a:prstGeom prst="straightConnector1">
            <a:avLst/>
          </a:prstGeom>
          <a:ln w="38100">
            <a:solidFill>
              <a:srgbClr val="FF6E40"/>
            </a:solidFill>
            <a:tailEnd type="triangle"/>
          </a:ln>
        </xdr:spPr>
        <xdr:style>
          <a:lnRef idx="3">
            <a:schemeClr val="accent2"/>
          </a:lnRef>
          <a:fillRef idx="0">
            <a:schemeClr val="accent2"/>
          </a:fillRef>
          <a:effectRef idx="2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7</xdr:col>
      <xdr:colOff>266700</xdr:colOff>
      <xdr:row>5</xdr:row>
      <xdr:rowOff>74886</xdr:rowOff>
    </xdr:from>
    <xdr:to>
      <xdr:col>8</xdr:col>
      <xdr:colOff>426720</xdr:colOff>
      <xdr:row>11</xdr:row>
      <xdr:rowOff>44406</xdr:rowOff>
    </xdr:to>
    <xdr:grpSp>
      <xdr:nvGrpSpPr>
        <xdr:cNvPr id="9" name="Группа 8"/>
        <xdr:cNvGrpSpPr/>
      </xdr:nvGrpSpPr>
      <xdr:grpSpPr>
        <a:xfrm>
          <a:off x="7313295" y="1090295"/>
          <a:ext cx="1417320" cy="1074420"/>
          <a:chOff x="6599183" y="1057603"/>
          <a:chExt cx="1274116" cy="1073107"/>
        </a:xfrm>
      </xdr:grpSpPr>
      <xdr:sp>
        <xdr:nvSpPr>
          <xdr:cNvPr id="10" name="TextBox 9"/>
          <xdr:cNvSpPr txBox="1"/>
        </xdr:nvSpPr>
        <xdr:spPr>
          <a:xfrm>
            <a:off x="6599183" y="1433086"/>
            <a:ext cx="1274116" cy="69762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ru-RU" sz="1400" i="1" kern="1200" baseline="0">
                <a:solidFill>
                  <a:schemeClr val="bg1">
                    <a:lumMod val="50000"/>
                  </a:schemeClr>
                </a:solidFill>
              </a:rPr>
              <a:t>Результат</a:t>
            </a:r>
            <a:endParaRPr lang="ru-RU" sz="1400" i="1" kern="1200">
              <a:solidFill>
                <a:schemeClr val="bg1">
                  <a:lumMod val="50000"/>
                </a:schemeClr>
              </a:solidFill>
            </a:endParaRPr>
          </a:p>
        </xdr:txBody>
      </xdr:sp>
      <xdr:cxnSp>
        <xdr:nvCxnSpPr>
          <xdr:cNvPr id="11" name="Прямая со стрелкой 10"/>
          <xdr:cNvCxnSpPr/>
        </xdr:nvCxnSpPr>
        <xdr:spPr>
          <a:xfrm flipV="1">
            <a:off x="7048763" y="1057603"/>
            <a:ext cx="0" cy="337383"/>
          </a:xfrm>
          <a:prstGeom prst="straightConnector1">
            <a:avLst/>
          </a:prstGeom>
          <a:ln w="38100">
            <a:solidFill>
              <a:srgbClr val="FF6E40"/>
            </a:solidFill>
            <a:tailEnd type="triangle"/>
          </a:ln>
        </xdr:spPr>
        <xdr:style>
          <a:lnRef idx="3">
            <a:schemeClr val="accent2"/>
          </a:lnRef>
          <a:fillRef idx="0">
            <a:schemeClr val="accent2"/>
          </a:fillRef>
          <a:effectRef idx="2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12" name="Скругленный прямоугольник 11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6</xdr:col>
      <xdr:colOff>0</xdr:colOff>
      <xdr:row>3</xdr:row>
      <xdr:rowOff>0</xdr:rowOff>
    </xdr:from>
    <xdr:to>
      <xdr:col>11</xdr:col>
      <xdr:colOff>36194</xdr:colOff>
      <xdr:row>10</xdr:row>
      <xdr:rowOff>23814</xdr:rowOff>
    </xdr:to>
    <xdr:sp>
      <xdr:nvSpPr>
        <xdr:cNvPr id="2" name="Прямоугольник: скругленные углы 1"/>
        <xdr:cNvSpPr/>
      </xdr:nvSpPr>
      <xdr:spPr>
        <a:xfrm>
          <a:off x="6945630" y="635000"/>
          <a:ext cx="3279775" cy="1325245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По сумме продаж и количеству найдите среднюю цену продажи. Замените ошибки  с помощью функции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ЕСЛИОШИБКА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430662</xdr:colOff>
      <xdr:row>12</xdr:row>
      <xdr:rowOff>11299</xdr:rowOff>
    </xdr:from>
    <xdr:to>
      <xdr:col>4</xdr:col>
      <xdr:colOff>731075</xdr:colOff>
      <xdr:row>14</xdr:row>
      <xdr:rowOff>178676</xdr:rowOff>
    </xdr:to>
    <xdr:sp>
      <xdr:nvSpPr>
        <xdr:cNvPr id="2" name="TextBox 1"/>
        <xdr:cNvSpPr txBox="1"/>
      </xdr:nvSpPr>
      <xdr:spPr>
        <a:xfrm>
          <a:off x="2425065" y="2315845"/>
          <a:ext cx="2101215" cy="5359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 i="1" kern="1200">
              <a:solidFill>
                <a:schemeClr val="bg1">
                  <a:lumMod val="50000"/>
                </a:schemeClr>
              </a:solidFill>
            </a:rPr>
            <a:t>Поиск</a:t>
          </a:r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 искомого значения</a:t>
          </a:r>
          <a:endParaRPr lang="ru-RU" sz="1400" i="1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309563</xdr:colOff>
      <xdr:row>8</xdr:row>
      <xdr:rowOff>100012</xdr:rowOff>
    </xdr:from>
    <xdr:to>
      <xdr:col>3</xdr:col>
      <xdr:colOff>12383</xdr:colOff>
      <xdr:row>8</xdr:row>
      <xdr:rowOff>100012</xdr:rowOff>
    </xdr:to>
    <xdr:cxnSp>
      <xdr:nvCxnSpPr>
        <xdr:cNvPr id="3" name="Прямая со стрелкой 2"/>
        <xdr:cNvCxnSpPr/>
      </xdr:nvCxnSpPr>
      <xdr:spPr>
        <a:xfrm flipH="1">
          <a:off x="2303780" y="1668145"/>
          <a:ext cx="603250" cy="0"/>
        </a:xfrm>
        <a:prstGeom prst="straightConnector1">
          <a:avLst/>
        </a:prstGeom>
        <a:ln w="38100">
          <a:solidFill>
            <a:srgbClr val="FF6E40"/>
          </a:solidFill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4" name="Скругленный прямоугольник 3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504825</xdr:colOff>
      <xdr:row>2</xdr:row>
      <xdr:rowOff>4762</xdr:rowOff>
    </xdr:from>
    <xdr:to>
      <xdr:col>8</xdr:col>
      <xdr:colOff>413385</xdr:colOff>
      <xdr:row>4</xdr:row>
      <xdr:rowOff>195263</xdr:rowOff>
    </xdr:to>
    <xdr:sp>
      <xdr:nvSpPr>
        <xdr:cNvPr id="2" name="TextBox 1"/>
        <xdr:cNvSpPr txBox="1"/>
      </xdr:nvSpPr>
      <xdr:spPr>
        <a:xfrm>
          <a:off x="6287135" y="455295"/>
          <a:ext cx="292735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Высота Шанхайской башни =</a:t>
          </a:r>
          <a:endParaRPr lang="ru-RU" sz="1400" i="1" kern="1200" baseline="0">
            <a:solidFill>
              <a:schemeClr val="bg1">
                <a:lumMod val="50000"/>
              </a:schemeClr>
            </a:solidFill>
          </a:endParaRPr>
        </a:p>
        <a:p>
          <a:r>
            <a:rPr lang="ru-RU" sz="1400" i="1" kern="1200" baseline="0">
              <a:solidFill>
                <a:schemeClr val="bg1">
                  <a:lumMod val="50000"/>
                </a:schemeClr>
              </a:solidFill>
            </a:rPr>
            <a:t>4 ряд, 2 столбец</a:t>
          </a:r>
          <a:endParaRPr lang="ru-RU" sz="1400" i="1" kern="1200" baseline="0">
            <a:solidFill>
              <a:schemeClr val="bg1">
                <a:lumMod val="50000"/>
              </a:schemeClr>
            </a:solidFill>
          </a:endParaRPr>
        </a:p>
        <a:p>
          <a:endParaRPr lang="ru-RU" sz="1400" i="1" kern="120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3" name="Скругленный прямоугольник 2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6</xdr:col>
      <xdr:colOff>0</xdr:colOff>
      <xdr:row>3</xdr:row>
      <xdr:rowOff>0</xdr:rowOff>
    </xdr:from>
    <xdr:to>
      <xdr:col>9</xdr:col>
      <xdr:colOff>160413</xdr:colOff>
      <xdr:row>9</xdr:row>
      <xdr:rowOff>161860</xdr:rowOff>
    </xdr:to>
    <xdr:sp>
      <xdr:nvSpPr>
        <xdr:cNvPr id="2" name="Прямоугольник: скругленные углы 1"/>
        <xdr:cNvSpPr/>
      </xdr:nvSpPr>
      <xdr:spPr>
        <a:xfrm>
          <a:off x="6410960" y="635000"/>
          <a:ext cx="3178810" cy="1342390"/>
        </a:xfrm>
        <a:prstGeom prst="roundRect">
          <a:avLst>
            <a:gd name="adj" fmla="val 4637"/>
          </a:avLst>
        </a:prstGeom>
        <a:solidFill>
          <a:srgbClr val="FFFFCC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u-RU" sz="1100" b="1">
              <a:solidFill>
                <a:srgbClr val="FF0000"/>
              </a:solidFill>
            </a:rPr>
            <a:t>ЗАДАНИЕ:</a:t>
          </a:r>
          <a:endParaRPr lang="ru-RU" sz="1100" b="1">
            <a:solidFill>
              <a:srgbClr val="FF0000"/>
            </a:solidFill>
          </a:endParaRPr>
        </a:p>
        <a:p>
          <a:pPr algn="l"/>
          <a:endParaRPr lang="ru-RU" sz="1100" b="1">
            <a:solidFill>
              <a:srgbClr val="FF0000"/>
            </a:solidFill>
          </a:endParaRPr>
        </a:p>
        <a:p>
          <a:pPr algn="l"/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С помощью функций </a:t>
          </a:r>
          <a:r>
            <a:rPr lang="ru-RU" sz="11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РАНГ </a:t>
          </a:r>
          <a:r>
            <a:rPr lang="ru-RU" sz="11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присвойте данным башням места по убыванию их высоты</a:t>
          </a:r>
          <a:r>
            <a:rPr lang="ru-RU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 </a:t>
          </a:r>
          <a:endParaRPr lang="ru-RU" sz="11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519737</xdr:colOff>
      <xdr:row>0</xdr:row>
      <xdr:rowOff>181374</xdr:rowOff>
    </xdr:to>
    <xdr:sp>
      <xdr:nvSpPr>
        <xdr:cNvPr id="4" name="Скругленный прямоугольник 3"/>
        <xdr:cNvSpPr/>
      </xdr:nvSpPr>
      <xdr:spPr>
        <a:xfrm>
          <a:off x="0" y="0"/>
          <a:ext cx="519430" cy="180975"/>
        </a:xfrm>
        <a:prstGeom prst="roundRect">
          <a:avLst/>
        </a:prstGeom>
        <a:blipFill dpi="0" rotWithShape="1">
          <a:blip r:embed="rId1"/>
          <a:srcRect/>
          <a:tile tx="0" ty="0" sx="30000" sy="30000" flip="none" algn="tl"/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richData/rdrichvalue.xml><?xml version="1.0" encoding="utf-8"?>
<rvData xmlns="http://schemas.microsoft.com/office/spreadsheetml/2017/richdata" count="1">
  <rv s="0">
    <v>1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5"/>
  <sheetViews>
    <sheetView zoomScale="118" zoomScaleNormal="118" topLeftCell="C2" workbookViewId="0">
      <selection activeCell="I5" sqref="I5:I15"/>
    </sheetView>
  </sheetViews>
  <sheetFormatPr defaultColWidth="9" defaultRowHeight="14.5"/>
  <cols>
    <col min="1" max="1" width="8" customWidth="1"/>
    <col min="2" max="2" width="10.3363636363636" customWidth="1"/>
    <col min="9" max="9" width="14" customWidth="1"/>
    <col min="15" max="15" width="9.10909090909091" customWidth="1"/>
  </cols>
  <sheetData>
    <row r="1" spans="2:2">
      <c r="B1" s="84" t="s">
        <v>0</v>
      </c>
    </row>
    <row r="2" ht="22" spans="2:6">
      <c r="B2" s="85"/>
      <c r="F2" s="1" t="s">
        <v>1</v>
      </c>
    </row>
    <row r="3" spans="9:9">
      <c r="I3" s="7"/>
    </row>
    <row r="4" ht="15.5" spans="6:9">
      <c r="F4" s="86" t="s">
        <v>2</v>
      </c>
      <c r="G4" s="86" t="s">
        <v>3</v>
      </c>
      <c r="H4" s="86" t="s">
        <v>4</v>
      </c>
      <c r="I4" s="86" t="s">
        <v>5</v>
      </c>
    </row>
    <row r="5" spans="6:9">
      <c r="F5" s="4">
        <v>1999</v>
      </c>
      <c r="G5" s="4">
        <v>1</v>
      </c>
      <c r="H5" s="4">
        <v>1</v>
      </c>
      <c r="I5" s="51">
        <f>DATE(F5,G5,H5)</f>
        <v>36161</v>
      </c>
    </row>
    <row r="6" spans="6:9">
      <c r="F6" s="4">
        <v>2000</v>
      </c>
      <c r="G6" s="4">
        <v>1</v>
      </c>
      <c r="H6" s="4">
        <v>1</v>
      </c>
      <c r="I6" s="51">
        <f t="shared" ref="I6:I15" si="0">DATE(F6,G6,H6)</f>
        <v>36526</v>
      </c>
    </row>
    <row r="7" spans="6:9">
      <c r="F7" s="4">
        <v>2005</v>
      </c>
      <c r="G7" s="4">
        <v>2</v>
      </c>
      <c r="H7" s="4">
        <v>12</v>
      </c>
      <c r="I7" s="51">
        <f t="shared" si="0"/>
        <v>38395</v>
      </c>
    </row>
    <row r="8" spans="6:9">
      <c r="F8" s="4">
        <v>2010</v>
      </c>
      <c r="G8" s="4">
        <v>10</v>
      </c>
      <c r="H8" s="4">
        <v>22</v>
      </c>
      <c r="I8" s="51">
        <f t="shared" si="0"/>
        <v>40473</v>
      </c>
    </row>
    <row r="9" spans="6:9">
      <c r="F9" s="4">
        <v>2018</v>
      </c>
      <c r="G9" s="4">
        <v>6</v>
      </c>
      <c r="H9" s="4">
        <v>18</v>
      </c>
      <c r="I9" s="51">
        <f t="shared" si="0"/>
        <v>43269</v>
      </c>
    </row>
    <row r="10" spans="6:9">
      <c r="F10" s="4">
        <v>2022</v>
      </c>
      <c r="G10" s="4">
        <v>8</v>
      </c>
      <c r="H10" s="4">
        <v>15</v>
      </c>
      <c r="I10" s="51">
        <f t="shared" si="0"/>
        <v>44788</v>
      </c>
    </row>
    <row r="11" spans="6:9">
      <c r="F11" s="4">
        <v>2026</v>
      </c>
      <c r="G11" s="4">
        <v>9</v>
      </c>
      <c r="H11" s="4">
        <v>4</v>
      </c>
      <c r="I11" s="51">
        <f t="shared" si="0"/>
        <v>46269</v>
      </c>
    </row>
    <row r="12" spans="6:9">
      <c r="F12" s="4">
        <v>2030</v>
      </c>
      <c r="G12" s="4">
        <v>12</v>
      </c>
      <c r="H12" s="4">
        <v>30</v>
      </c>
      <c r="I12" s="51">
        <f t="shared" si="0"/>
        <v>47847</v>
      </c>
    </row>
    <row r="13" spans="6:9">
      <c r="F13" s="4">
        <v>2045</v>
      </c>
      <c r="G13" s="4">
        <v>3</v>
      </c>
      <c r="H13" s="4">
        <v>28</v>
      </c>
      <c r="I13" s="51">
        <f t="shared" si="0"/>
        <v>53049</v>
      </c>
    </row>
    <row r="14" spans="6:9">
      <c r="F14" s="4">
        <v>2050</v>
      </c>
      <c r="G14" s="4">
        <v>7</v>
      </c>
      <c r="H14" s="4">
        <v>3</v>
      </c>
      <c r="I14" s="51">
        <f t="shared" si="0"/>
        <v>54972</v>
      </c>
    </row>
    <row r="15" spans="6:9">
      <c r="F15" s="4">
        <v>2099</v>
      </c>
      <c r="G15" s="4">
        <v>11</v>
      </c>
      <c r="H15" s="4">
        <v>10</v>
      </c>
      <c r="I15" s="51">
        <f t="shared" si="0"/>
        <v>72999</v>
      </c>
    </row>
  </sheetData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5"/>
  <sheetViews>
    <sheetView zoomScale="115" zoomScaleNormal="115" workbookViewId="0">
      <selection activeCell="E5" sqref="E5:E14"/>
    </sheetView>
  </sheetViews>
  <sheetFormatPr defaultColWidth="9" defaultRowHeight="14.5" outlineLevelCol="7"/>
  <cols>
    <col min="2" max="2" width="14" customWidth="1"/>
    <col min="3" max="5" width="13.7818181818182" customWidth="1"/>
    <col min="6" max="6" width="11.2181818181818" customWidth="1"/>
    <col min="8" max="8" width="11.2181818181818" customWidth="1"/>
  </cols>
  <sheetData>
    <row r="2" ht="21" spans="2:4">
      <c r="B2" s="1" t="s">
        <v>6</v>
      </c>
      <c r="C2" s="33" t="s">
        <v>7</v>
      </c>
      <c r="D2" s="34" t="s">
        <v>8</v>
      </c>
    </row>
    <row r="3" spans="3:5">
      <c r="C3" s="7"/>
      <c r="D3" s="7"/>
      <c r="E3" s="7"/>
    </row>
    <row r="4" ht="15.5" spans="2:5">
      <c r="B4" s="2" t="s">
        <v>9</v>
      </c>
      <c r="C4" s="2" t="s">
        <v>4</v>
      </c>
      <c r="D4" s="2" t="s">
        <v>3</v>
      </c>
      <c r="E4" s="2" t="s">
        <v>2</v>
      </c>
    </row>
    <row r="5" spans="2:8">
      <c r="B5" s="31">
        <v>27670</v>
      </c>
      <c r="C5" s="28">
        <f>DAY(B5)</f>
        <v>3</v>
      </c>
      <c r="D5" s="28">
        <f>MONTH(B5)</f>
        <v>10</v>
      </c>
      <c r="E5" s="28">
        <f>YEAR(B5)</f>
        <v>1975</v>
      </c>
      <c r="H5" s="9"/>
    </row>
    <row r="6" spans="2:8">
      <c r="B6" s="31">
        <v>33108</v>
      </c>
      <c r="C6" s="28">
        <f t="shared" ref="C6:C12" si="0">DAY(B6)</f>
        <v>23</v>
      </c>
      <c r="D6" s="28">
        <f t="shared" ref="D6:D14" si="1">MONTH(B6)</f>
        <v>8</v>
      </c>
      <c r="E6" s="28">
        <f t="shared" ref="E6:E14" si="2">YEAR(B6)</f>
        <v>1990</v>
      </c>
      <c r="H6" s="9"/>
    </row>
    <row r="7" spans="2:8">
      <c r="B7" s="31">
        <v>36526</v>
      </c>
      <c r="C7" s="28">
        <f t="shared" si="0"/>
        <v>1</v>
      </c>
      <c r="D7" s="28">
        <f t="shared" si="1"/>
        <v>1</v>
      </c>
      <c r="E7" s="28">
        <f t="shared" si="2"/>
        <v>2000</v>
      </c>
      <c r="H7" s="9"/>
    </row>
    <row r="8" spans="2:8">
      <c r="B8" s="31">
        <v>45285</v>
      </c>
      <c r="C8" s="28">
        <f t="shared" si="0"/>
        <v>25</v>
      </c>
      <c r="D8" s="28">
        <f t="shared" si="1"/>
        <v>12</v>
      </c>
      <c r="E8" s="28">
        <f t="shared" si="2"/>
        <v>2023</v>
      </c>
      <c r="H8" s="9"/>
    </row>
    <row r="9" spans="2:8">
      <c r="B9" s="31">
        <v>45823</v>
      </c>
      <c r="C9" s="28">
        <f t="shared" si="0"/>
        <v>15</v>
      </c>
      <c r="D9" s="28">
        <f t="shared" si="1"/>
        <v>6</v>
      </c>
      <c r="E9" s="28">
        <f t="shared" si="2"/>
        <v>2025</v>
      </c>
      <c r="H9" s="9"/>
    </row>
    <row r="10" spans="2:8">
      <c r="B10" s="31">
        <v>46143</v>
      </c>
      <c r="C10" s="28">
        <f t="shared" si="0"/>
        <v>1</v>
      </c>
      <c r="D10" s="28">
        <f t="shared" si="1"/>
        <v>5</v>
      </c>
      <c r="E10" s="28">
        <f t="shared" si="2"/>
        <v>2026</v>
      </c>
      <c r="H10" s="9"/>
    </row>
    <row r="11" spans="2:8">
      <c r="B11" s="31">
        <v>47027</v>
      </c>
      <c r="C11" s="28">
        <f t="shared" si="0"/>
        <v>1</v>
      </c>
      <c r="D11" s="28">
        <f t="shared" si="1"/>
        <v>10</v>
      </c>
      <c r="E11" s="28">
        <f t="shared" si="2"/>
        <v>2028</v>
      </c>
      <c r="H11" s="9"/>
    </row>
    <row r="12" spans="2:8">
      <c r="B12" s="31">
        <v>45657</v>
      </c>
      <c r="C12" s="28">
        <f t="shared" si="0"/>
        <v>31</v>
      </c>
      <c r="D12" s="28">
        <f t="shared" si="1"/>
        <v>12</v>
      </c>
      <c r="E12" s="28">
        <f t="shared" si="2"/>
        <v>2024</v>
      </c>
      <c r="H12" s="9"/>
    </row>
    <row r="13" spans="2:8">
      <c r="B13" s="31">
        <v>45350</v>
      </c>
      <c r="C13" s="28">
        <f>DAY(B13)</f>
        <v>28</v>
      </c>
      <c r="D13" s="28">
        <f t="shared" si="1"/>
        <v>2</v>
      </c>
      <c r="E13" s="28">
        <f t="shared" si="2"/>
        <v>2024</v>
      </c>
      <c r="H13" s="9"/>
    </row>
    <row r="14" spans="2:5">
      <c r="B14" s="31">
        <v>47738</v>
      </c>
      <c r="C14" s="28">
        <f>DAY(B14)</f>
        <v>12</v>
      </c>
      <c r="D14" s="28">
        <f t="shared" si="1"/>
        <v>9</v>
      </c>
      <c r="E14" s="28">
        <f t="shared" si="2"/>
        <v>2030</v>
      </c>
    </row>
    <row r="15" spans="3:3">
      <c r="C15" s="28"/>
    </row>
  </sheetData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22"/>
  <sheetViews>
    <sheetView topLeftCell="A3" workbookViewId="0">
      <selection activeCell="H6" sqref="H6"/>
    </sheetView>
  </sheetViews>
  <sheetFormatPr defaultColWidth="9" defaultRowHeight="14.5" outlineLevelCol="7"/>
  <cols>
    <col min="2" max="2" width="35.8181818181818" customWidth="1"/>
    <col min="3" max="3" width="34.1090909090909" customWidth="1"/>
    <col min="6" max="6" width="11.2181818181818" customWidth="1"/>
    <col min="8" max="8" width="11.2181818181818" customWidth="1"/>
  </cols>
  <sheetData>
    <row r="2" ht="21" spans="2:2">
      <c r="B2" s="1" t="s">
        <v>10</v>
      </c>
    </row>
    <row r="4" ht="15.5" spans="2:3">
      <c r="B4" s="2" t="s">
        <v>9</v>
      </c>
      <c r="C4" s="2" t="s">
        <v>11</v>
      </c>
    </row>
    <row r="5" spans="2:8">
      <c r="B5" s="51">
        <f ca="1">TODAY()</f>
        <v>46293</v>
      </c>
      <c r="C5" s="87" t="s">
        <v>12</v>
      </c>
      <c r="D5" s="7" t="s">
        <v>13</v>
      </c>
      <c r="H5" s="9"/>
    </row>
    <row r="6" spans="2:8">
      <c r="B6" s="51">
        <f ca="1">TODAY()-7</f>
        <v>46286</v>
      </c>
      <c r="C6" s="87" t="s">
        <v>14</v>
      </c>
      <c r="D6" s="7" t="s">
        <v>15</v>
      </c>
      <c r="H6" s="9"/>
    </row>
    <row r="7" spans="2:8">
      <c r="B7" s="51">
        <f ca="1">TODAY()+7</f>
        <v>46300</v>
      </c>
      <c r="C7" s="87" t="s">
        <v>16</v>
      </c>
      <c r="D7" s="7" t="s">
        <v>17</v>
      </c>
      <c r="H7" s="9"/>
    </row>
    <row r="8" spans="2:8">
      <c r="B8" s="51">
        <f ca="1">TODAY()+90</f>
        <v>46383</v>
      </c>
      <c r="C8" s="87" t="s">
        <v>18</v>
      </c>
      <c r="D8" s="7" t="s">
        <v>19</v>
      </c>
      <c r="H8" s="9"/>
    </row>
    <row r="9" spans="2:8">
      <c r="B9" s="51">
        <f ca="1">EDATE(TODAY(),3)</f>
        <v>46384</v>
      </c>
      <c r="C9" s="87" t="s">
        <v>20</v>
      </c>
      <c r="D9" s="7" t="s">
        <v>21</v>
      </c>
      <c r="H9" s="9"/>
    </row>
    <row r="10" spans="2:8">
      <c r="B10" s="51">
        <f ca="1">EDATE(TODAY(),12)</f>
        <v>46658</v>
      </c>
      <c r="C10" s="87" t="s">
        <v>22</v>
      </c>
      <c r="D10" s="7" t="s">
        <v>23</v>
      </c>
      <c r="H10" s="9"/>
    </row>
    <row r="11" spans="2:8">
      <c r="B11" s="51">
        <f ca="1">EDATE(TODAY(),-12)</f>
        <v>45928</v>
      </c>
      <c r="C11" s="87" t="s">
        <v>24</v>
      </c>
      <c r="D11" s="7" t="s">
        <v>25</v>
      </c>
      <c r="H11" s="9"/>
    </row>
    <row r="12" spans="2:8">
      <c r="B12" s="51">
        <f ca="1">EOMONTH(TODAY(),0)</f>
        <v>46295</v>
      </c>
      <c r="C12" s="87" t="s">
        <v>26</v>
      </c>
      <c r="D12" s="7" t="s">
        <v>27</v>
      </c>
      <c r="H12" s="9"/>
    </row>
    <row r="13" spans="2:8">
      <c r="B13" s="51">
        <f ca="1">EOMONTH(TODAY(),-1)+1</f>
        <v>46266</v>
      </c>
      <c r="C13" s="87" t="s">
        <v>28</v>
      </c>
      <c r="D13" s="7" t="s">
        <v>29</v>
      </c>
      <c r="H13" s="9"/>
    </row>
    <row r="14" spans="2:4">
      <c r="B14" s="82">
        <f ca="1">TODAY()+TIME(18,0,0)</f>
        <v>46293.75</v>
      </c>
      <c r="C14" s="88" t="s">
        <v>30</v>
      </c>
      <c r="D14" s="7" t="s">
        <v>31</v>
      </c>
    </row>
    <row r="15" spans="2:4">
      <c r="B15" s="82">
        <f ca="1">TODAY()+1+TIME(12,0,0)</f>
        <v>46294.5</v>
      </c>
      <c r="C15" s="88" t="s">
        <v>32</v>
      </c>
      <c r="D15" s="7" t="s">
        <v>33</v>
      </c>
    </row>
    <row r="19" ht="21" spans="2:2">
      <c r="B19" s="1" t="s">
        <v>34</v>
      </c>
    </row>
    <row r="20" ht="15.5" spans="2:3">
      <c r="B20" s="2" t="s">
        <v>35</v>
      </c>
      <c r="C20" s="2" t="s">
        <v>11</v>
      </c>
    </row>
    <row r="21" spans="2:4">
      <c r="B21" s="51">
        <f ca="1">NOW()</f>
        <v>46293.7174074074</v>
      </c>
      <c r="C21" s="89" t="s">
        <v>36</v>
      </c>
      <c r="D21" t="s">
        <v>37</v>
      </c>
    </row>
    <row r="22" spans="3:3">
      <c r="C22" s="83"/>
    </row>
  </sheetData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16"/>
  <sheetViews>
    <sheetView zoomScale="145" zoomScaleNormal="145" topLeftCell="A4" workbookViewId="0">
      <selection activeCell="E5" sqref="E5:E16"/>
    </sheetView>
  </sheetViews>
  <sheetFormatPr defaultColWidth="9" defaultRowHeight="14.5"/>
  <cols>
    <col min="2" max="2" width="13.1090909090909" customWidth="1"/>
    <col min="3" max="3" width="12.4454545454545" customWidth="1"/>
    <col min="4" max="4" width="8" customWidth="1"/>
    <col min="5" max="5" width="25.5181818181818" customWidth="1"/>
    <col min="8" max="8" width="11.2181818181818" customWidth="1"/>
    <col min="10" max="10" width="15.2181818181818" customWidth="1"/>
  </cols>
  <sheetData>
    <row r="2" ht="21" spans="2:2">
      <c r="B2" s="1" t="s">
        <v>38</v>
      </c>
    </row>
    <row r="4" ht="15.5" spans="2:10">
      <c r="B4" s="2" t="s">
        <v>9</v>
      </c>
      <c r="C4" s="2" t="s">
        <v>39</v>
      </c>
      <c r="E4" s="2" t="s">
        <v>5</v>
      </c>
      <c r="J4" s="81"/>
    </row>
    <row r="5" spans="2:10">
      <c r="B5" s="31">
        <v>46784</v>
      </c>
      <c r="C5" s="4">
        <v>1</v>
      </c>
      <c r="E5" s="51">
        <f>EDATE(B5,C5)</f>
        <v>46813</v>
      </c>
      <c r="F5" s="7" t="s">
        <v>40</v>
      </c>
      <c r="J5" s="9"/>
    </row>
    <row r="6" spans="2:10">
      <c r="B6" s="31">
        <v>46784</v>
      </c>
      <c r="C6" s="4">
        <v>2</v>
      </c>
      <c r="E6" s="51">
        <f>EDATE(B6,C6)</f>
        <v>46844</v>
      </c>
      <c r="F6" s="7" t="s">
        <v>41</v>
      </c>
      <c r="J6" s="9"/>
    </row>
    <row r="7" spans="2:10">
      <c r="B7" s="31">
        <v>46784</v>
      </c>
      <c r="C7" s="4">
        <v>3</v>
      </c>
      <c r="E7" s="51">
        <f>EDATE(B7,C7)</f>
        <v>46874</v>
      </c>
      <c r="F7" s="7" t="s">
        <v>42</v>
      </c>
      <c r="J7" s="9"/>
    </row>
    <row r="8" spans="2:10">
      <c r="B8" s="31">
        <v>46784</v>
      </c>
      <c r="C8" s="4">
        <v>-1</v>
      </c>
      <c r="E8" s="51">
        <f>EDATE(B8,C8)</f>
        <v>46753</v>
      </c>
      <c r="F8" s="7" t="s">
        <v>43</v>
      </c>
      <c r="J8" s="9"/>
    </row>
    <row r="9" spans="2:10">
      <c r="B9" s="31">
        <v>46784</v>
      </c>
      <c r="C9" s="4">
        <v>-2</v>
      </c>
      <c r="E9" s="51">
        <f>EDATE(B9,C9)</f>
        <v>46722</v>
      </c>
      <c r="F9" s="7" t="s">
        <v>44</v>
      </c>
      <c r="J9" s="9"/>
    </row>
    <row r="10" spans="2:10">
      <c r="B10" s="31">
        <v>46784</v>
      </c>
      <c r="C10" s="4">
        <v>-3</v>
      </c>
      <c r="E10" s="51">
        <f t="shared" ref="E10:E16" si="0">EDATE(B10,C10)</f>
        <v>46692</v>
      </c>
      <c r="F10" s="7" t="s">
        <v>45</v>
      </c>
      <c r="J10" s="9"/>
    </row>
    <row r="11" spans="2:10">
      <c r="B11" s="31">
        <v>46783</v>
      </c>
      <c r="C11" s="4">
        <v>1</v>
      </c>
      <c r="E11" s="51">
        <f t="shared" si="0"/>
        <v>46812</v>
      </c>
      <c r="F11" s="7" t="s">
        <v>46</v>
      </c>
      <c r="J11" s="9"/>
    </row>
    <row r="12" spans="2:10">
      <c r="B12" s="31">
        <v>46827</v>
      </c>
      <c r="C12" s="4">
        <v>1.5</v>
      </c>
      <c r="E12" s="51">
        <f t="shared" si="0"/>
        <v>46858</v>
      </c>
      <c r="F12" s="7" t="s">
        <v>47</v>
      </c>
      <c r="J12" s="9"/>
    </row>
    <row r="13" spans="2:10">
      <c r="B13" s="31">
        <v>46827</v>
      </c>
      <c r="C13" s="4">
        <v>12</v>
      </c>
      <c r="E13" s="51">
        <f t="shared" si="0"/>
        <v>47192</v>
      </c>
      <c r="F13" s="7" t="s">
        <v>48</v>
      </c>
      <c r="J13" s="9"/>
    </row>
    <row r="14" spans="2:6">
      <c r="B14" s="31">
        <v>46827</v>
      </c>
      <c r="C14" s="4">
        <v>24</v>
      </c>
      <c r="E14" s="51">
        <f t="shared" si="0"/>
        <v>47557</v>
      </c>
      <c r="F14" s="7" t="s">
        <v>49</v>
      </c>
    </row>
    <row r="15" spans="2:6">
      <c r="B15" s="31">
        <v>46905</v>
      </c>
      <c r="C15" s="4">
        <v>120</v>
      </c>
      <c r="E15" s="51">
        <f t="shared" si="0"/>
        <v>50557</v>
      </c>
      <c r="F15" s="7" t="s">
        <v>50</v>
      </c>
    </row>
    <row r="16" spans="2:6">
      <c r="B16" s="31">
        <v>47011</v>
      </c>
      <c r="C16" s="4">
        <v>-60</v>
      </c>
      <c r="E16" s="51">
        <f t="shared" si="0"/>
        <v>45184</v>
      </c>
      <c r="F16" s="7" t="s">
        <v>51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4"/>
  <sheetViews>
    <sheetView workbookViewId="0">
      <selection activeCell="G5" sqref="G5:G14"/>
    </sheetView>
  </sheetViews>
  <sheetFormatPr defaultColWidth="9" defaultRowHeight="14.5"/>
  <cols>
    <col min="1" max="1" width="9.10909090909091" customWidth="1"/>
    <col min="2" max="2" width="14" customWidth="1"/>
    <col min="3" max="3" width="11.5545454545455" customWidth="1"/>
    <col min="4" max="4" width="14.2181818181818" customWidth="1"/>
    <col min="5" max="5" width="15.8909090909091" customWidth="1"/>
    <col min="6" max="6" width="16.6636363636364" customWidth="1"/>
    <col min="7" max="7" width="13.3363636363636" customWidth="1"/>
    <col min="9" max="9" width="11.2181818181818" customWidth="1"/>
  </cols>
  <sheetData>
    <row r="1" spans="10:10">
      <c r="J1" s="10"/>
    </row>
    <row r="2" ht="21" spans="2:6">
      <c r="B2" s="1" t="s">
        <v>52</v>
      </c>
      <c r="C2" s="79" t="s">
        <v>53</v>
      </c>
      <c r="E2" s="25" t="s">
        <v>54</v>
      </c>
      <c r="F2" s="33" t="s">
        <v>55</v>
      </c>
    </row>
    <row r="3" spans="4:6">
      <c r="D3" s="7"/>
      <c r="E3" s="7"/>
      <c r="F3" s="7"/>
    </row>
    <row r="4" ht="15.5" spans="2:7">
      <c r="B4" s="2" t="s">
        <v>56</v>
      </c>
      <c r="C4" s="2" t="s">
        <v>57</v>
      </c>
      <c r="D4" s="2" t="s">
        <v>52</v>
      </c>
      <c r="E4" s="2" t="s">
        <v>53</v>
      </c>
      <c r="F4" s="2" t="s">
        <v>54</v>
      </c>
      <c r="G4" s="2" t="s">
        <v>55</v>
      </c>
    </row>
    <row r="5" spans="2:9">
      <c r="B5" s="4">
        <v>6.6445</v>
      </c>
      <c r="C5" s="4">
        <v>0</v>
      </c>
      <c r="D5" s="41">
        <f>ROUND(B5,C5)</f>
        <v>7</v>
      </c>
      <c r="E5" s="41">
        <f>ROUNDUP(B5,C5)</f>
        <v>7</v>
      </c>
      <c r="F5" s="41">
        <f>ROUNDDOWN(B5,C5)</f>
        <v>6</v>
      </c>
      <c r="G5" s="41">
        <f>INT(B5)</f>
        <v>6</v>
      </c>
      <c r="H5" s="7" t="s">
        <v>58</v>
      </c>
      <c r="I5" s="9"/>
    </row>
    <row r="6" spans="2:8">
      <c r="B6" s="4">
        <v>3.1926</v>
      </c>
      <c r="C6" s="4">
        <v>1</v>
      </c>
      <c r="D6" s="41">
        <f t="shared" ref="D6:D14" si="0">ROUND(B6,C6)</f>
        <v>3.2</v>
      </c>
      <c r="E6" s="41">
        <f t="shared" ref="E6:E14" si="1">ROUNDUP(B6,C6)</f>
        <v>3.2</v>
      </c>
      <c r="F6" s="41">
        <f t="shared" ref="F6:F14" si="2">ROUNDDOWN(B6,C6)</f>
        <v>3.1</v>
      </c>
      <c r="G6" s="41">
        <f t="shared" ref="G6:G14" si="3">INT(B6)</f>
        <v>3</v>
      </c>
      <c r="H6" s="7" t="s">
        <v>59</v>
      </c>
    </row>
    <row r="7" spans="2:8">
      <c r="B7" s="4">
        <v>3.7498</v>
      </c>
      <c r="C7" s="4">
        <v>2</v>
      </c>
      <c r="D7" s="41">
        <f t="shared" si="0"/>
        <v>3.75</v>
      </c>
      <c r="E7" s="41">
        <f t="shared" si="1"/>
        <v>3.75</v>
      </c>
      <c r="F7" s="41">
        <f t="shared" si="2"/>
        <v>3.74</v>
      </c>
      <c r="G7" s="41">
        <f t="shared" si="3"/>
        <v>3</v>
      </c>
      <c r="H7" s="7" t="s">
        <v>60</v>
      </c>
    </row>
    <row r="8" spans="2:8">
      <c r="B8" s="4">
        <v>0</v>
      </c>
      <c r="C8" s="4">
        <v>3</v>
      </c>
      <c r="D8" s="41">
        <f t="shared" si="0"/>
        <v>0</v>
      </c>
      <c r="E8" s="41">
        <f t="shared" si="1"/>
        <v>0</v>
      </c>
      <c r="F8" s="41">
        <f t="shared" si="2"/>
        <v>0</v>
      </c>
      <c r="G8" s="41">
        <f t="shared" si="3"/>
        <v>0</v>
      </c>
      <c r="H8" s="7" t="s">
        <v>61</v>
      </c>
    </row>
    <row r="9" spans="2:8">
      <c r="B9" s="4">
        <v>-7.445</v>
      </c>
      <c r="C9" s="4">
        <v>1</v>
      </c>
      <c r="D9" s="41">
        <f t="shared" si="0"/>
        <v>-7.4</v>
      </c>
      <c r="E9" s="41">
        <f t="shared" si="1"/>
        <v>-7.5</v>
      </c>
      <c r="F9" s="41">
        <f t="shared" si="2"/>
        <v>-7.4</v>
      </c>
      <c r="G9" s="41">
        <f t="shared" si="3"/>
        <v>-8</v>
      </c>
      <c r="H9" s="7" t="s">
        <v>62</v>
      </c>
    </row>
    <row r="10" spans="2:9">
      <c r="B10" s="80">
        <v>-5.313</v>
      </c>
      <c r="C10" s="40">
        <v>2</v>
      </c>
      <c r="D10" s="41">
        <f t="shared" si="0"/>
        <v>-5.31</v>
      </c>
      <c r="E10" s="41">
        <f t="shared" si="1"/>
        <v>-5.32</v>
      </c>
      <c r="F10" s="41">
        <f t="shared" si="2"/>
        <v>-5.31</v>
      </c>
      <c r="G10" s="41">
        <f t="shared" si="3"/>
        <v>-6</v>
      </c>
      <c r="H10" s="7" t="s">
        <v>63</v>
      </c>
      <c r="I10" s="9"/>
    </row>
    <row r="11" spans="2:9">
      <c r="B11" s="4">
        <v>72325.3</v>
      </c>
      <c r="C11" s="4">
        <v>-1</v>
      </c>
      <c r="D11" s="41">
        <f t="shared" si="0"/>
        <v>72330</v>
      </c>
      <c r="E11" s="41">
        <f t="shared" si="1"/>
        <v>72330</v>
      </c>
      <c r="F11" s="41">
        <f t="shared" si="2"/>
        <v>72320</v>
      </c>
      <c r="G11" s="41">
        <f t="shared" si="3"/>
        <v>72325</v>
      </c>
      <c r="H11" s="7" t="s">
        <v>64</v>
      </c>
      <c r="I11" s="9"/>
    </row>
    <row r="12" spans="2:9">
      <c r="B12" s="4">
        <v>88275.5</v>
      </c>
      <c r="C12" s="4">
        <v>-2</v>
      </c>
      <c r="D12" s="41">
        <f t="shared" si="0"/>
        <v>88300</v>
      </c>
      <c r="E12" s="41">
        <f t="shared" si="1"/>
        <v>88300</v>
      </c>
      <c r="F12" s="41">
        <f t="shared" si="2"/>
        <v>88200</v>
      </c>
      <c r="G12" s="41">
        <f t="shared" si="3"/>
        <v>88275</v>
      </c>
      <c r="H12" s="7" t="s">
        <v>65</v>
      </c>
      <c r="I12" s="9"/>
    </row>
    <row r="13" spans="2:9">
      <c r="B13" s="4">
        <v>81893.8</v>
      </c>
      <c r="C13" s="4">
        <v>-3</v>
      </c>
      <c r="D13" s="41">
        <f t="shared" si="0"/>
        <v>82000</v>
      </c>
      <c r="E13" s="41">
        <f t="shared" si="1"/>
        <v>82000</v>
      </c>
      <c r="F13" s="41">
        <f t="shared" si="2"/>
        <v>81000</v>
      </c>
      <c r="G13" s="41">
        <f t="shared" si="3"/>
        <v>81893</v>
      </c>
      <c r="H13" s="7" t="s">
        <v>66</v>
      </c>
      <c r="I13" s="9"/>
    </row>
    <row r="14" spans="2:8">
      <c r="B14" s="4">
        <v>35901.4</v>
      </c>
      <c r="C14" s="4">
        <v>-4</v>
      </c>
      <c r="D14" s="41">
        <f t="shared" si="0"/>
        <v>40000</v>
      </c>
      <c r="E14" s="41">
        <f t="shared" si="1"/>
        <v>40000</v>
      </c>
      <c r="F14" s="41">
        <f t="shared" si="2"/>
        <v>30000</v>
      </c>
      <c r="G14" s="41">
        <f t="shared" si="3"/>
        <v>35901</v>
      </c>
      <c r="H14" s="7" t="s">
        <v>67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3"/>
  <sheetViews>
    <sheetView workbookViewId="0">
      <selection activeCell="H5" sqref="H5:H13"/>
    </sheetView>
  </sheetViews>
  <sheetFormatPr defaultColWidth="9" defaultRowHeight="14.5"/>
  <cols>
    <col min="1" max="1" width="8.89090909090909" style="65"/>
    <col min="2" max="2" width="9.21818181818182" style="65" customWidth="1"/>
    <col min="3" max="5" width="7.33636363636364" style="65" customWidth="1"/>
    <col min="6" max="6" width="7.78181818181818" style="65" customWidth="1"/>
    <col min="7" max="7" width="4.89090909090909" style="65" customWidth="1"/>
    <col min="8" max="8" width="10.1090909090909" style="65" customWidth="1"/>
    <col min="9" max="16384" width="8.89090909090909" style="65"/>
  </cols>
  <sheetData>
    <row r="1" spans="10:10">
      <c r="J1" s="64"/>
    </row>
    <row r="2" ht="21" spans="2:5">
      <c r="B2" s="66" t="s">
        <v>68</v>
      </c>
      <c r="C2" s="67"/>
      <c r="D2" s="68"/>
      <c r="E2" s="69"/>
    </row>
    <row r="3" spans="4:6">
      <c r="D3" s="70"/>
      <c r="E3" s="70"/>
      <c r="F3" s="70"/>
    </row>
    <row r="4" ht="15.5" spans="2:8">
      <c r="B4" s="71" t="s">
        <v>69</v>
      </c>
      <c r="C4" s="71" t="s">
        <v>70</v>
      </c>
      <c r="D4" s="71" t="s">
        <v>71</v>
      </c>
      <c r="E4" s="71" t="s">
        <v>72</v>
      </c>
      <c r="F4" s="71" t="s">
        <v>73</v>
      </c>
      <c r="H4" s="72" t="s">
        <v>5</v>
      </c>
    </row>
    <row r="5" spans="2:11">
      <c r="B5" s="73">
        <v>1</v>
      </c>
      <c r="C5" s="73">
        <v>2</v>
      </c>
      <c r="D5" s="73">
        <v>3</v>
      </c>
      <c r="E5" s="74">
        <v>4</v>
      </c>
      <c r="F5" s="73">
        <v>5</v>
      </c>
      <c r="H5" s="75">
        <f>SUM(B5,C5,D5,E5,F5)</f>
        <v>15</v>
      </c>
      <c r="I5" s="70" t="s">
        <v>74</v>
      </c>
      <c r="K5" s="70"/>
    </row>
    <row r="6" spans="2:11">
      <c r="B6" s="73">
        <v>3.1926</v>
      </c>
      <c r="C6" s="73">
        <v>1.2</v>
      </c>
      <c r="D6" s="73">
        <v>3.2</v>
      </c>
      <c r="E6" s="76">
        <v>3.5</v>
      </c>
      <c r="F6" s="73">
        <v>4.1</v>
      </c>
      <c r="H6" s="75">
        <f t="shared" ref="H6:H13" si="0">SUM(B6,C6,D6,E6,F6)</f>
        <v>15.1926</v>
      </c>
      <c r="I6" s="70" t="s">
        <v>75</v>
      </c>
      <c r="K6" s="70"/>
    </row>
    <row r="7" spans="2:11">
      <c r="B7" s="74">
        <v>-1</v>
      </c>
      <c r="C7" s="74">
        <v>2</v>
      </c>
      <c r="D7" s="73">
        <v>-3</v>
      </c>
      <c r="E7" s="74">
        <v>4</v>
      </c>
      <c r="F7" s="73">
        <v>-6</v>
      </c>
      <c r="H7" s="75">
        <f t="shared" si="0"/>
        <v>-4</v>
      </c>
      <c r="I7" s="70" t="s">
        <v>76</v>
      </c>
      <c r="K7" s="70"/>
    </row>
    <row r="8" spans="2:11">
      <c r="B8" s="77">
        <v>47119</v>
      </c>
      <c r="C8" s="74">
        <v>30</v>
      </c>
      <c r="D8" s="73">
        <v>55.2</v>
      </c>
      <c r="E8" s="74">
        <v>6</v>
      </c>
      <c r="F8" s="73">
        <v>1</v>
      </c>
      <c r="H8" s="75">
        <f t="shared" si="0"/>
        <v>47211.2</v>
      </c>
      <c r="I8" s="70" t="s">
        <v>77</v>
      </c>
      <c r="K8" s="70"/>
    </row>
    <row r="9" spans="2:11">
      <c r="B9" s="78">
        <v>0.78125</v>
      </c>
      <c r="C9" s="74">
        <v>10</v>
      </c>
      <c r="D9" s="73">
        <v>15</v>
      </c>
      <c r="E9" s="74">
        <v>30</v>
      </c>
      <c r="F9" s="73">
        <v>45</v>
      </c>
      <c r="H9" s="75">
        <f t="shared" si="0"/>
        <v>100.78125</v>
      </c>
      <c r="I9" s="70" t="s">
        <v>78</v>
      </c>
      <c r="K9" s="70"/>
    </row>
    <row r="10" spans="2:11">
      <c r="B10" s="73">
        <v>5</v>
      </c>
      <c r="C10" s="73" t="s">
        <v>79</v>
      </c>
      <c r="D10" s="73">
        <v>0</v>
      </c>
      <c r="E10" s="74" t="s">
        <v>80</v>
      </c>
      <c r="F10" s="73">
        <v>15</v>
      </c>
      <c r="H10" s="75">
        <f t="shared" si="0"/>
        <v>20</v>
      </c>
      <c r="I10" s="70" t="s">
        <v>81</v>
      </c>
      <c r="K10" s="70"/>
    </row>
    <row r="11" spans="2:11">
      <c r="B11" s="73" t="s">
        <v>82</v>
      </c>
      <c r="C11" s="73" t="s">
        <v>83</v>
      </c>
      <c r="D11" s="73" t="s">
        <v>84</v>
      </c>
      <c r="E11" s="74" t="s">
        <v>85</v>
      </c>
      <c r="F11" s="73" t="s">
        <v>86</v>
      </c>
      <c r="H11" s="75">
        <f t="shared" si="0"/>
        <v>0</v>
      </c>
      <c r="I11" s="70" t="s">
        <v>81</v>
      </c>
      <c r="K11" s="70"/>
    </row>
    <row r="12" spans="2:11">
      <c r="B12" s="73">
        <v>1</v>
      </c>
      <c r="C12" s="73">
        <v>2</v>
      </c>
      <c r="D12" s="73">
        <v>3</v>
      </c>
      <c r="E12" s="74">
        <v>4</v>
      </c>
      <c r="F12" s="73" t="e">
        <f>E12/0</f>
        <v>#DIV/0!</v>
      </c>
      <c r="H12" s="75" t="e">
        <f t="shared" si="0"/>
        <v>#DIV/0!</v>
      </c>
      <c r="I12" s="70" t="s">
        <v>87</v>
      </c>
      <c r="K12" s="70"/>
    </row>
    <row r="13" spans="2:11">
      <c r="B13" s="73">
        <v>5</v>
      </c>
      <c r="C13" s="73">
        <v>6</v>
      </c>
      <c r="D13" s="73">
        <v>7</v>
      </c>
      <c r="E13" s="73" t="e">
        <f>VLOOKUP(14,H5:H8,1,0)</f>
        <v>#N/A</v>
      </c>
      <c r="F13" s="74">
        <v>8</v>
      </c>
      <c r="H13" s="75" t="e">
        <f t="shared" si="0"/>
        <v>#N/A</v>
      </c>
      <c r="I13" s="70" t="s">
        <v>87</v>
      </c>
      <c r="K13" s="70"/>
    </row>
  </sheetData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4"/>
  <sheetViews>
    <sheetView workbookViewId="0">
      <selection activeCell="G5" sqref="G5:G14"/>
    </sheetView>
  </sheetViews>
  <sheetFormatPr defaultColWidth="9" defaultRowHeight="14.5"/>
  <cols>
    <col min="1" max="1" width="8.89090909090909" style="52"/>
    <col min="2" max="2" width="9.21818181818182" style="52" customWidth="1"/>
    <col min="3" max="3" width="7.33636363636364" style="52" customWidth="1"/>
    <col min="4" max="5" width="9.89090909090909" style="52" customWidth="1"/>
    <col min="6" max="6" width="4.89090909090909" style="52" customWidth="1"/>
    <col min="7" max="7" width="10.1090909090909" style="52" customWidth="1"/>
    <col min="8" max="16384" width="8.89090909090909" style="52"/>
  </cols>
  <sheetData>
    <row r="1" spans="10:10">
      <c r="J1" s="64"/>
    </row>
    <row r="2" ht="21" spans="2:5">
      <c r="B2" s="53" t="s">
        <v>88</v>
      </c>
      <c r="C2" s="54"/>
      <c r="D2" s="55"/>
      <c r="E2" s="55"/>
    </row>
    <row r="3" spans="4:5">
      <c r="D3" s="56"/>
      <c r="E3" s="56"/>
    </row>
    <row r="4" ht="15.5" spans="2:7">
      <c r="B4" s="57" t="s">
        <v>69</v>
      </c>
      <c r="C4" s="57" t="s">
        <v>70</v>
      </c>
      <c r="D4" s="57" t="s">
        <v>71</v>
      </c>
      <c r="E4" s="57" t="s">
        <v>72</v>
      </c>
      <c r="G4" s="58" t="s">
        <v>5</v>
      </c>
    </row>
    <row r="5" spans="2:10">
      <c r="B5" s="59">
        <v>1</v>
      </c>
      <c r="C5" s="59">
        <v>2</v>
      </c>
      <c r="D5" s="59">
        <v>3</v>
      </c>
      <c r="E5" s="59">
        <v>4</v>
      </c>
      <c r="G5" s="60">
        <f>AVERAGE(B5,C5,D5,E5)</f>
        <v>2.5</v>
      </c>
      <c r="H5" s="56" t="s">
        <v>74</v>
      </c>
      <c r="J5" s="56"/>
    </row>
    <row r="6" spans="2:10">
      <c r="B6" s="59">
        <v>3.1926</v>
      </c>
      <c r="C6" s="59">
        <v>1.2</v>
      </c>
      <c r="D6" s="59">
        <v>3.2</v>
      </c>
      <c r="E6" s="59">
        <v>4.8</v>
      </c>
      <c r="G6" s="60">
        <f t="shared" ref="G6:G14" si="0">AVERAGE(B6,C6,D6,E6)</f>
        <v>3.09815</v>
      </c>
      <c r="H6" s="56" t="s">
        <v>75</v>
      </c>
      <c r="J6" s="56"/>
    </row>
    <row r="7" spans="2:10">
      <c r="B7" s="61">
        <v>-1</v>
      </c>
      <c r="C7" s="61">
        <v>-2</v>
      </c>
      <c r="D7" s="59">
        <v>-3</v>
      </c>
      <c r="E7" s="59">
        <v>-4</v>
      </c>
      <c r="G7" s="60">
        <f t="shared" si="0"/>
        <v>-2.5</v>
      </c>
      <c r="H7" s="56" t="s">
        <v>76</v>
      </c>
      <c r="J7" s="56"/>
    </row>
    <row r="8" spans="2:10">
      <c r="B8" s="62">
        <v>47119</v>
      </c>
      <c r="C8" s="61">
        <v>30</v>
      </c>
      <c r="D8" s="59">
        <v>55.2</v>
      </c>
      <c r="E8" s="59">
        <v>8</v>
      </c>
      <c r="G8" s="60">
        <f t="shared" si="0"/>
        <v>11803.05</v>
      </c>
      <c r="H8" s="56" t="s">
        <v>77</v>
      </c>
      <c r="J8" s="56"/>
    </row>
    <row r="9" spans="2:10">
      <c r="B9" s="63">
        <v>0.78125</v>
      </c>
      <c r="C9" s="61">
        <v>10</v>
      </c>
      <c r="D9" s="59">
        <v>15</v>
      </c>
      <c r="E9" s="59">
        <v>3</v>
      </c>
      <c r="G9" s="60">
        <f t="shared" si="0"/>
        <v>7.1953125</v>
      </c>
      <c r="H9" s="56" t="s">
        <v>78</v>
      </c>
      <c r="J9" s="56"/>
    </row>
    <row r="10" spans="2:10">
      <c r="B10" s="61">
        <v>5</v>
      </c>
      <c r="C10" s="61">
        <v>10</v>
      </c>
      <c r="D10" s="59">
        <v>0</v>
      </c>
      <c r="E10" s="59">
        <v>15</v>
      </c>
      <c r="G10" s="60">
        <f t="shared" si="0"/>
        <v>7.5</v>
      </c>
      <c r="H10" s="56" t="s">
        <v>89</v>
      </c>
      <c r="J10" s="56"/>
    </row>
    <row r="11" spans="2:10">
      <c r="B11" s="61">
        <v>5</v>
      </c>
      <c r="C11" s="61">
        <v>10</v>
      </c>
      <c r="D11" s="59"/>
      <c r="E11" s="59">
        <v>15</v>
      </c>
      <c r="G11" s="60">
        <f t="shared" si="0"/>
        <v>10</v>
      </c>
      <c r="H11" s="56" t="s">
        <v>90</v>
      </c>
      <c r="J11" s="56"/>
    </row>
    <row r="12" spans="2:8">
      <c r="B12" s="59">
        <v>5</v>
      </c>
      <c r="C12" s="59" t="s">
        <v>79</v>
      </c>
      <c r="D12" s="59">
        <v>1</v>
      </c>
      <c r="E12" s="59">
        <v>1</v>
      </c>
      <c r="G12" s="60">
        <f t="shared" si="0"/>
        <v>2.33333333333333</v>
      </c>
      <c r="H12" s="56" t="s">
        <v>81</v>
      </c>
    </row>
    <row r="13" spans="2:10">
      <c r="B13" s="59" t="s">
        <v>82</v>
      </c>
      <c r="C13" s="59" t="s">
        <v>83</v>
      </c>
      <c r="D13" s="59" t="s">
        <v>84</v>
      </c>
      <c r="E13" s="59" t="s">
        <v>85</v>
      </c>
      <c r="G13" s="60" t="e">
        <f t="shared" si="0"/>
        <v>#DIV/0!</v>
      </c>
      <c r="H13" s="56" t="s">
        <v>81</v>
      </c>
      <c r="J13" s="56"/>
    </row>
    <row r="14" spans="2:10">
      <c r="B14" s="59">
        <v>1</v>
      </c>
      <c r="C14" s="59">
        <v>2</v>
      </c>
      <c r="D14" s="59" t="e">
        <f>VLOOKUP(G7,G5:G6,1,0)</f>
        <v>#N/A</v>
      </c>
      <c r="E14" s="59">
        <v>3</v>
      </c>
      <c r="G14" s="60" t="e">
        <f t="shared" si="0"/>
        <v>#N/A</v>
      </c>
      <c r="H14" s="56" t="s">
        <v>91</v>
      </c>
      <c r="J14" s="56"/>
    </row>
  </sheetData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5"/>
  <sheetViews>
    <sheetView workbookViewId="0">
      <selection activeCell="D5" sqref="D5:D15"/>
    </sheetView>
  </sheetViews>
  <sheetFormatPr defaultColWidth="9" defaultRowHeight="14.5"/>
  <cols>
    <col min="2" max="2" width="14.5545454545455" customWidth="1"/>
    <col min="3" max="3" width="15.1090909090909" customWidth="1"/>
    <col min="4" max="4" width="14.4454545454545" customWidth="1"/>
    <col min="5" max="5" width="11.2181818181818" customWidth="1"/>
    <col min="7" max="7" width="11.2181818181818" customWidth="1"/>
  </cols>
  <sheetData>
    <row r="1" spans="10:10">
      <c r="J1" s="10"/>
    </row>
    <row r="2" ht="21" spans="2:2">
      <c r="B2" s="1" t="s">
        <v>92</v>
      </c>
    </row>
    <row r="4" ht="15.5" spans="2:4">
      <c r="B4" s="2" t="s">
        <v>93</v>
      </c>
      <c r="C4" s="2" t="s">
        <v>94</v>
      </c>
      <c r="D4" s="2" t="s">
        <v>95</v>
      </c>
    </row>
    <row r="5" spans="2:7">
      <c r="B5" s="31" t="s">
        <v>96</v>
      </c>
      <c r="C5" s="16">
        <v>110000</v>
      </c>
      <c r="D5" s="51" t="str">
        <f>IF(C5&gt;=90000,"да","нет")</f>
        <v>да</v>
      </c>
      <c r="F5" s="7"/>
      <c r="G5" s="9"/>
    </row>
    <row r="6" spans="2:7">
      <c r="B6" s="31" t="s">
        <v>97</v>
      </c>
      <c r="C6" s="16">
        <v>113000</v>
      </c>
      <c r="D6" s="51" t="str">
        <f t="shared" ref="D6:D15" si="0">IF(C6&gt;=90000,"да","нет")</f>
        <v>да</v>
      </c>
      <c r="F6" s="7"/>
      <c r="G6" s="9"/>
    </row>
    <row r="7" spans="2:7">
      <c r="B7" s="31" t="s">
        <v>98</v>
      </c>
      <c r="C7" s="16">
        <v>106000</v>
      </c>
      <c r="D7" s="51" t="str">
        <f t="shared" si="0"/>
        <v>да</v>
      </c>
      <c r="F7" s="7"/>
      <c r="G7" s="9"/>
    </row>
    <row r="8" spans="2:7">
      <c r="B8" s="31" t="s">
        <v>99</v>
      </c>
      <c r="C8" s="16">
        <v>84000</v>
      </c>
      <c r="D8" s="51" t="str">
        <f t="shared" si="0"/>
        <v>нет</v>
      </c>
      <c r="F8" s="7"/>
      <c r="G8" s="9"/>
    </row>
    <row r="9" spans="2:7">
      <c r="B9" s="31" t="s">
        <v>100</v>
      </c>
      <c r="C9" s="16">
        <v>134000</v>
      </c>
      <c r="D9" s="51" t="str">
        <f t="shared" si="0"/>
        <v>да</v>
      </c>
      <c r="F9" s="7"/>
      <c r="G9" s="9"/>
    </row>
    <row r="10" spans="2:7">
      <c r="B10" s="31" t="s">
        <v>101</v>
      </c>
      <c r="C10" s="16">
        <v>51000</v>
      </c>
      <c r="D10" s="51" t="str">
        <f t="shared" si="0"/>
        <v>нет</v>
      </c>
      <c r="F10" s="7"/>
      <c r="G10" s="9"/>
    </row>
    <row r="11" spans="2:7">
      <c r="B11" s="31" t="s">
        <v>102</v>
      </c>
      <c r="C11" s="16">
        <v>83000</v>
      </c>
      <c r="D11" s="51" t="str">
        <f t="shared" si="0"/>
        <v>нет</v>
      </c>
      <c r="F11" s="7"/>
      <c r="G11" s="9"/>
    </row>
    <row r="12" spans="2:7">
      <c r="B12" s="31" t="s">
        <v>103</v>
      </c>
      <c r="C12" s="16">
        <v>75000</v>
      </c>
      <c r="D12" s="51" t="str">
        <f t="shared" si="0"/>
        <v>нет</v>
      </c>
      <c r="F12" s="7"/>
      <c r="G12" s="9"/>
    </row>
    <row r="13" spans="2:7">
      <c r="B13" s="31" t="s">
        <v>104</v>
      </c>
      <c r="C13" s="16">
        <v>92000</v>
      </c>
      <c r="D13" s="51" t="str">
        <f t="shared" si="0"/>
        <v>да</v>
      </c>
      <c r="F13" s="7"/>
      <c r="G13" s="9"/>
    </row>
    <row r="14" spans="2:6">
      <c r="B14" s="32" t="s">
        <v>105</v>
      </c>
      <c r="C14" s="16">
        <v>99000</v>
      </c>
      <c r="D14" s="51" t="str">
        <f t="shared" si="0"/>
        <v>да</v>
      </c>
      <c r="F14" s="7"/>
    </row>
    <row r="15" spans="2:6">
      <c r="B15" s="32" t="s">
        <v>106</v>
      </c>
      <c r="C15" s="16">
        <v>61000</v>
      </c>
      <c r="D15" s="51" t="str">
        <f t="shared" si="0"/>
        <v>нет</v>
      </c>
      <c r="F15" s="7"/>
    </row>
  </sheetData>
  <pageMargins left="0.7" right="0.7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5"/>
  <sheetViews>
    <sheetView workbookViewId="0">
      <selection activeCell="G14" sqref="G14"/>
    </sheetView>
  </sheetViews>
  <sheetFormatPr defaultColWidth="9" defaultRowHeight="14.5"/>
  <cols>
    <col min="2" max="2" width="11.1090909090909" customWidth="1"/>
    <col min="3" max="3" width="13.7818181818182" customWidth="1"/>
    <col min="4" max="4" width="6.33636363636364" customWidth="1"/>
    <col min="5" max="5" width="11.2181818181818" customWidth="1"/>
    <col min="6" max="6" width="13.7818181818182" customWidth="1"/>
    <col min="7" max="7" width="11.2181818181818" customWidth="1"/>
    <col min="9" max="9" width="11.2181818181818" customWidth="1"/>
  </cols>
  <sheetData>
    <row r="1" spans="10:10">
      <c r="J1" s="10"/>
    </row>
    <row r="2" ht="21" spans="2:5">
      <c r="B2" s="1" t="s">
        <v>107</v>
      </c>
      <c r="D2" s="33"/>
      <c r="E2" s="33" t="s">
        <v>108</v>
      </c>
    </row>
    <row r="3" spans="3:6">
      <c r="C3" s="7"/>
      <c r="D3" s="7"/>
      <c r="E3" s="7"/>
      <c r="F3" s="7"/>
    </row>
    <row r="4" ht="15.5" spans="2:6">
      <c r="B4" s="2" t="s">
        <v>109</v>
      </c>
      <c r="C4" s="2" t="s">
        <v>107</v>
      </c>
      <c r="D4" s="7"/>
      <c r="E4" s="2" t="s">
        <v>110</v>
      </c>
      <c r="F4" s="2" t="s">
        <v>108</v>
      </c>
    </row>
    <row r="5" spans="2:9">
      <c r="B5" s="4">
        <v>80</v>
      </c>
      <c r="C5" s="4" t="b">
        <f>AND(B5&gt;100,B5&lt;130)</f>
        <v>0</v>
      </c>
      <c r="D5" s="7"/>
      <c r="E5" s="4" t="s">
        <v>111</v>
      </c>
      <c r="F5" s="4" t="b">
        <f>OR(E5="Красный",E5="Синий")</f>
        <v>1</v>
      </c>
      <c r="G5" s="7"/>
      <c r="I5" s="9"/>
    </row>
    <row r="6" spans="2:7">
      <c r="B6" s="4">
        <v>110</v>
      </c>
      <c r="C6" s="4" t="b">
        <f t="shared" ref="C6:C14" si="0">AND(B6&gt;100,B6&lt;130)</f>
        <v>1</v>
      </c>
      <c r="D6" s="7"/>
      <c r="E6" s="4" t="s">
        <v>112</v>
      </c>
      <c r="F6" s="4" t="b">
        <f t="shared" ref="F6:F14" si="1">OR(E6="Красный",E6="Синий")</f>
        <v>1</v>
      </c>
      <c r="G6" s="7"/>
    </row>
    <row r="7" spans="2:7">
      <c r="B7" s="4">
        <v>80</v>
      </c>
      <c r="C7" s="4" t="b">
        <f t="shared" si="0"/>
        <v>0</v>
      </c>
      <c r="D7" s="7"/>
      <c r="E7" s="4" t="s">
        <v>111</v>
      </c>
      <c r="F7" s="4" t="b">
        <f t="shared" si="1"/>
        <v>1</v>
      </c>
      <c r="G7" s="7"/>
    </row>
    <row r="8" spans="2:7">
      <c r="B8" s="4">
        <v>110</v>
      </c>
      <c r="C8" s="4" t="b">
        <f t="shared" si="0"/>
        <v>1</v>
      </c>
      <c r="D8" s="7"/>
      <c r="E8" s="4" t="s">
        <v>113</v>
      </c>
      <c r="F8" s="4" t="b">
        <f t="shared" si="1"/>
        <v>0</v>
      </c>
      <c r="G8" s="7"/>
    </row>
    <row r="9" spans="2:7">
      <c r="B9" s="4">
        <v>60</v>
      </c>
      <c r="C9" s="4" t="b">
        <f t="shared" si="0"/>
        <v>0</v>
      </c>
      <c r="D9" s="7"/>
      <c r="E9" s="4" t="s">
        <v>112</v>
      </c>
      <c r="F9" s="4" t="b">
        <f t="shared" si="1"/>
        <v>1</v>
      </c>
      <c r="G9" s="7"/>
    </row>
    <row r="10" spans="2:9">
      <c r="B10" s="4">
        <v>80</v>
      </c>
      <c r="C10" s="4" t="b">
        <f t="shared" si="0"/>
        <v>0</v>
      </c>
      <c r="D10" s="7"/>
      <c r="E10" s="4" t="s">
        <v>114</v>
      </c>
      <c r="F10" s="4" t="b">
        <f t="shared" si="1"/>
        <v>0</v>
      </c>
      <c r="G10" s="7"/>
      <c r="I10" s="9"/>
    </row>
    <row r="11" spans="2:9">
      <c r="B11" s="4">
        <v>110</v>
      </c>
      <c r="C11" s="4" t="b">
        <f t="shared" si="0"/>
        <v>1</v>
      </c>
      <c r="D11" s="7"/>
      <c r="E11" s="4" t="s">
        <v>112</v>
      </c>
      <c r="F11" s="4" t="b">
        <f t="shared" si="1"/>
        <v>1</v>
      </c>
      <c r="G11" s="7"/>
      <c r="I11" s="9"/>
    </row>
    <row r="12" spans="2:9">
      <c r="B12" s="4">
        <v>120</v>
      </c>
      <c r="C12" s="4" t="b">
        <f t="shared" si="0"/>
        <v>1</v>
      </c>
      <c r="D12" s="7"/>
      <c r="E12" s="4" t="s">
        <v>112</v>
      </c>
      <c r="F12" s="4" t="b">
        <f t="shared" si="1"/>
        <v>1</v>
      </c>
      <c r="G12" s="7"/>
      <c r="I12" s="9"/>
    </row>
    <row r="13" spans="2:9">
      <c r="B13" s="4">
        <v>70</v>
      </c>
      <c r="C13" s="4" t="b">
        <f t="shared" si="0"/>
        <v>0</v>
      </c>
      <c r="D13" s="7"/>
      <c r="E13" s="4" t="s">
        <v>113</v>
      </c>
      <c r="F13" s="4" t="b">
        <f t="shared" si="1"/>
        <v>0</v>
      </c>
      <c r="G13" s="7"/>
      <c r="I13" s="9"/>
    </row>
    <row r="14" spans="2:7">
      <c r="B14" s="4">
        <v>140</v>
      </c>
      <c r="C14" s="4" t="b">
        <f t="shared" si="0"/>
        <v>0</v>
      </c>
      <c r="D14" s="7"/>
      <c r="E14" s="4" t="s">
        <v>114</v>
      </c>
      <c r="F14" s="4" t="b">
        <f t="shared" si="1"/>
        <v>0</v>
      </c>
      <c r="G14" s="7"/>
    </row>
    <row r="15" spans="4:4">
      <c r="D15" s="7"/>
    </row>
  </sheetData>
  <conditionalFormatting sqref="C5:C14">
    <cfRule type="cellIs" dxfId="0" priority="2" operator="equal">
      <formula>TRUE</formula>
    </cfRule>
  </conditionalFormatting>
  <conditionalFormatting sqref="F5:F14">
    <cfRule type="cellIs" dxfId="0" priority="1" operator="equal">
      <formula>TRUE</formula>
    </cfRule>
  </conditionalFormatting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3"/>
  <sheetViews>
    <sheetView workbookViewId="0">
      <selection activeCell="H8" sqref="H8"/>
    </sheetView>
  </sheetViews>
  <sheetFormatPr defaultColWidth="9" defaultRowHeight="14.5"/>
  <cols>
    <col min="2" max="2" width="17.6636363636364" customWidth="1"/>
    <col min="3" max="3" width="10.2181818181818" customWidth="1"/>
    <col min="4" max="4" width="15.8909090909091" customWidth="1"/>
    <col min="5" max="5" width="14.6636363636364" customWidth="1"/>
    <col min="6" max="6" width="5.44545454545455" customWidth="1"/>
    <col min="7" max="7" width="19.6636363636364" customWidth="1"/>
    <col min="8" max="8" width="10.4454545454545" customWidth="1"/>
  </cols>
  <sheetData>
    <row r="1" spans="10:10">
      <c r="J1" s="10"/>
    </row>
    <row r="2" ht="21" spans="2:5">
      <c r="B2" s="1" t="s">
        <v>115</v>
      </c>
      <c r="C2" s="33"/>
      <c r="D2" s="34"/>
      <c r="E2" s="34"/>
    </row>
    <row r="3" spans="4:5">
      <c r="D3" s="7"/>
      <c r="E3" s="7"/>
    </row>
    <row r="4" ht="15.5" spans="2:8">
      <c r="B4" s="2" t="s">
        <v>116</v>
      </c>
      <c r="C4" s="2" t="s">
        <v>117</v>
      </c>
      <c r="D4" s="2" t="s">
        <v>118</v>
      </c>
      <c r="E4" s="19" t="s">
        <v>119</v>
      </c>
      <c r="G4" s="14" t="s">
        <v>120</v>
      </c>
      <c r="H4" s="14" t="s">
        <v>109</v>
      </c>
    </row>
    <row r="5" spans="2:8">
      <c r="B5" s="4" t="s">
        <v>121</v>
      </c>
      <c r="C5" s="16">
        <v>5500</v>
      </c>
      <c r="D5" s="43">
        <v>4.53</v>
      </c>
      <c r="E5" s="4" t="s">
        <v>122</v>
      </c>
      <c r="G5" s="4" t="s">
        <v>123</v>
      </c>
      <c r="H5" s="28">
        <f>COUNTIF(C5:C13,"&lt;5000")</f>
        <v>6</v>
      </c>
    </row>
    <row r="6" spans="2:8">
      <c r="B6" s="4" t="s">
        <v>124</v>
      </c>
      <c r="C6" s="16">
        <v>1800</v>
      </c>
      <c r="D6" s="43">
        <v>4.84</v>
      </c>
      <c r="E6" s="4" t="s">
        <v>125</v>
      </c>
      <c r="G6" s="4" t="s">
        <v>126</v>
      </c>
      <c r="H6" s="28">
        <f>COUNTIF(D5:D13,"&gt;4")</f>
        <v>4</v>
      </c>
    </row>
    <row r="7" spans="2:8">
      <c r="B7" s="4" t="s">
        <v>127</v>
      </c>
      <c r="C7" s="16">
        <v>2500</v>
      </c>
      <c r="D7" s="43">
        <v>2.3</v>
      </c>
      <c r="E7" s="4" t="s">
        <v>125</v>
      </c>
      <c r="G7" s="4" t="s">
        <v>128</v>
      </c>
      <c r="H7" s="28">
        <f>COUNTIF(E5:E13,"да")</f>
        <v>3</v>
      </c>
    </row>
    <row r="8" spans="2:7">
      <c r="B8" s="4" t="s">
        <v>129</v>
      </c>
      <c r="C8" s="16">
        <v>4900</v>
      </c>
      <c r="D8" s="43">
        <v>2.1</v>
      </c>
      <c r="E8" s="4" t="s">
        <v>122</v>
      </c>
      <c r="G8" s="7"/>
    </row>
    <row r="9" spans="2:7">
      <c r="B9" s="4" t="s">
        <v>130</v>
      </c>
      <c r="C9" s="16">
        <v>4800</v>
      </c>
      <c r="D9" s="43">
        <v>1.23</v>
      </c>
      <c r="E9" s="4" t="s">
        <v>122</v>
      </c>
      <c r="G9" s="7"/>
    </row>
    <row r="10" spans="2:7">
      <c r="B10" s="40" t="s">
        <v>131</v>
      </c>
      <c r="C10" s="16">
        <v>5700</v>
      </c>
      <c r="D10" s="43">
        <v>4.34</v>
      </c>
      <c r="E10" s="4" t="s">
        <v>125</v>
      </c>
      <c r="G10" s="7"/>
    </row>
    <row r="11" spans="2:5">
      <c r="B11" s="4" t="s">
        <v>132</v>
      </c>
      <c r="C11" s="16">
        <v>2400</v>
      </c>
      <c r="D11" s="43">
        <v>2.26</v>
      </c>
      <c r="E11" s="4" t="s">
        <v>125</v>
      </c>
    </row>
    <row r="12" spans="2:7">
      <c r="B12" s="4" t="s">
        <v>133</v>
      </c>
      <c r="C12" s="16">
        <v>3300</v>
      </c>
      <c r="D12" s="43">
        <v>4.8</v>
      </c>
      <c r="E12" s="4" t="s">
        <v>125</v>
      </c>
      <c r="G12" s="7"/>
    </row>
    <row r="13" spans="2:7">
      <c r="B13" s="4" t="s">
        <v>134</v>
      </c>
      <c r="C13" s="16">
        <v>6200</v>
      </c>
      <c r="D13" s="43">
        <v>3.24</v>
      </c>
      <c r="E13" s="4" t="s">
        <v>125</v>
      </c>
      <c r="G13" s="7"/>
    </row>
  </sheetData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3"/>
  <sheetViews>
    <sheetView workbookViewId="0">
      <selection activeCell="H6" sqref="H6"/>
    </sheetView>
  </sheetViews>
  <sheetFormatPr defaultColWidth="9" defaultRowHeight="14.5"/>
  <cols>
    <col min="2" max="2" width="16.7818181818182" customWidth="1"/>
    <col min="3" max="3" width="16.5545454545455" customWidth="1"/>
    <col min="4" max="4" width="17.3363636363636" customWidth="1"/>
    <col min="5" max="5" width="8.10909090909091" customWidth="1"/>
    <col min="6" max="6" width="8.66363636363636" customWidth="1"/>
    <col min="7" max="7" width="14.5545454545455" customWidth="1"/>
    <col min="8" max="8" width="11.2181818181818" customWidth="1"/>
  </cols>
  <sheetData>
    <row r="1" spans="10:10">
      <c r="J1" s="10"/>
    </row>
    <row r="2" ht="21" spans="2:4">
      <c r="B2" s="1" t="s">
        <v>135</v>
      </c>
      <c r="C2" s="33"/>
      <c r="D2" s="34"/>
    </row>
    <row r="3" spans="4:4">
      <c r="D3" s="7"/>
    </row>
    <row r="4" ht="15.5" spans="2:8">
      <c r="B4" s="2" t="s">
        <v>136</v>
      </c>
      <c r="C4" s="2" t="s">
        <v>137</v>
      </c>
      <c r="D4" s="2" t="s">
        <v>138</v>
      </c>
      <c r="G4" s="49" t="s">
        <v>136</v>
      </c>
      <c r="H4" s="49" t="s">
        <v>5</v>
      </c>
    </row>
    <row r="5" spans="2:11">
      <c r="B5" s="23" t="s">
        <v>139</v>
      </c>
      <c r="C5" s="4" t="s">
        <v>140</v>
      </c>
      <c r="D5" s="24">
        <v>17000</v>
      </c>
      <c r="G5" s="4" t="s">
        <v>139</v>
      </c>
      <c r="H5" s="6">
        <f>SUMIF(B5:B13,"Москва",D5:D13)</f>
        <v>33000</v>
      </c>
      <c r="K5" s="7"/>
    </row>
    <row r="6" spans="2:11">
      <c r="B6" s="23" t="s">
        <v>141</v>
      </c>
      <c r="C6" s="4" t="s">
        <v>142</v>
      </c>
      <c r="D6" s="24">
        <v>14000</v>
      </c>
      <c r="K6" s="7"/>
    </row>
    <row r="7" spans="2:11">
      <c r="B7" s="23" t="s">
        <v>139</v>
      </c>
      <c r="C7" s="40" t="s">
        <v>142</v>
      </c>
      <c r="D7" s="24">
        <v>8000</v>
      </c>
      <c r="K7" s="7"/>
    </row>
    <row r="8" spans="2:11">
      <c r="B8" s="23" t="s">
        <v>143</v>
      </c>
      <c r="C8" s="4" t="s">
        <v>140</v>
      </c>
      <c r="D8" s="24">
        <v>13000</v>
      </c>
      <c r="K8" s="7"/>
    </row>
    <row r="9" spans="2:11">
      <c r="B9" s="23" t="s">
        <v>144</v>
      </c>
      <c r="C9" s="4" t="s">
        <v>140</v>
      </c>
      <c r="D9" s="24">
        <v>9000</v>
      </c>
      <c r="K9" s="7"/>
    </row>
    <row r="10" spans="2:11">
      <c r="B10" s="50" t="s">
        <v>145</v>
      </c>
      <c r="C10" s="40" t="s">
        <v>142</v>
      </c>
      <c r="D10" s="24">
        <v>22000</v>
      </c>
      <c r="K10" s="7"/>
    </row>
    <row r="11" spans="2:4">
      <c r="B11" s="23" t="s">
        <v>139</v>
      </c>
      <c r="C11" s="4" t="s">
        <v>142</v>
      </c>
      <c r="D11" s="24">
        <v>8000</v>
      </c>
    </row>
    <row r="12" spans="2:11">
      <c r="B12" s="23" t="s">
        <v>143</v>
      </c>
      <c r="C12" s="4" t="s">
        <v>140</v>
      </c>
      <c r="D12" s="24">
        <v>14000</v>
      </c>
      <c r="K12" s="7"/>
    </row>
    <row r="13" spans="2:11">
      <c r="B13" s="23" t="s">
        <v>145</v>
      </c>
      <c r="C13" s="4" t="s">
        <v>146</v>
      </c>
      <c r="D13" s="24">
        <v>16000</v>
      </c>
      <c r="K13" s="7"/>
    </row>
  </sheetData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3"/>
  <sheetViews>
    <sheetView workbookViewId="0">
      <selection activeCell="H6" sqref="H6"/>
    </sheetView>
  </sheetViews>
  <sheetFormatPr defaultColWidth="9" defaultRowHeight="14.5"/>
  <cols>
    <col min="2" max="3" width="10.2181818181818" customWidth="1"/>
    <col min="4" max="4" width="11" customWidth="1"/>
    <col min="5" max="5" width="13.6636363636364" customWidth="1"/>
    <col min="6" max="6" width="5.44545454545455" customWidth="1"/>
    <col min="7" max="7" width="14.6636363636364" customWidth="1"/>
    <col min="8" max="8" width="10.4454545454545" customWidth="1"/>
  </cols>
  <sheetData>
    <row r="1" spans="10:10">
      <c r="J1" s="10"/>
    </row>
    <row r="2" ht="21" spans="2:5">
      <c r="B2" s="1" t="s">
        <v>147</v>
      </c>
      <c r="C2" s="33"/>
      <c r="D2" s="34"/>
      <c r="E2" s="34"/>
    </row>
    <row r="3" spans="4:5">
      <c r="D3" s="7"/>
      <c r="E3" s="7"/>
    </row>
    <row r="4" ht="15.5" spans="2:8">
      <c r="B4" s="2" t="s">
        <v>148</v>
      </c>
      <c r="C4" s="2" t="s">
        <v>149</v>
      </c>
      <c r="D4" s="2" t="s">
        <v>150</v>
      </c>
      <c r="E4" s="19" t="s">
        <v>151</v>
      </c>
      <c r="G4" s="14" t="s">
        <v>120</v>
      </c>
      <c r="H4" s="14" t="s">
        <v>152</v>
      </c>
    </row>
    <row r="5" spans="2:8">
      <c r="B5" s="4" t="s">
        <v>153</v>
      </c>
      <c r="C5" s="16">
        <v>6500</v>
      </c>
      <c r="D5" s="4" t="s">
        <v>122</v>
      </c>
      <c r="E5" s="4">
        <v>3</v>
      </c>
      <c r="G5" s="4" t="s">
        <v>154</v>
      </c>
      <c r="H5" s="20">
        <f>AVERAGEIF(C5:C13,"&gt;5000")</f>
        <v>6733.33333333333</v>
      </c>
    </row>
    <row r="6" spans="2:8">
      <c r="B6" s="4" t="s">
        <v>155</v>
      </c>
      <c r="C6" s="16">
        <v>4500</v>
      </c>
      <c r="D6" s="4" t="s">
        <v>125</v>
      </c>
      <c r="E6" s="4">
        <v>2</v>
      </c>
      <c r="G6" s="4" t="s">
        <v>156</v>
      </c>
      <c r="H6" s="20">
        <f>AVERAGEIF(E5:E13,"&gt;=2",C5:C13)</f>
        <v>4085.71428571429</v>
      </c>
    </row>
    <row r="7" spans="2:8">
      <c r="B7" s="4" t="s">
        <v>157</v>
      </c>
      <c r="C7" s="16">
        <v>4300</v>
      </c>
      <c r="D7" s="4" t="s">
        <v>125</v>
      </c>
      <c r="E7" s="4">
        <v>2</v>
      </c>
      <c r="G7" s="4" t="s">
        <v>158</v>
      </c>
      <c r="H7" s="20">
        <f>AVERAGEIF(D5:D13,"да",C5:C13)</f>
        <v>6125</v>
      </c>
    </row>
    <row r="8" spans="2:7">
      <c r="B8" s="4" t="s">
        <v>159</v>
      </c>
      <c r="C8" s="16">
        <v>6400</v>
      </c>
      <c r="D8" s="4" t="s">
        <v>122</v>
      </c>
      <c r="E8" s="4">
        <v>1</v>
      </c>
      <c r="G8" s="7"/>
    </row>
    <row r="9" spans="2:7">
      <c r="B9" s="4" t="s">
        <v>160</v>
      </c>
      <c r="C9" s="16">
        <v>7300</v>
      </c>
      <c r="D9" s="4" t="s">
        <v>122</v>
      </c>
      <c r="E9" s="4">
        <v>1</v>
      </c>
      <c r="G9" s="7"/>
    </row>
    <row r="10" spans="2:7">
      <c r="B10" s="40" t="s">
        <v>161</v>
      </c>
      <c r="C10" s="16">
        <v>3800</v>
      </c>
      <c r="D10" s="4" t="s">
        <v>125</v>
      </c>
      <c r="E10" s="4">
        <v>3</v>
      </c>
      <c r="G10" s="7"/>
    </row>
    <row r="11" spans="2:5">
      <c r="B11" s="4" t="s">
        <v>162</v>
      </c>
      <c r="C11" s="16">
        <v>4300</v>
      </c>
      <c r="D11" s="4" t="s">
        <v>122</v>
      </c>
      <c r="E11" s="4">
        <v>4</v>
      </c>
    </row>
    <row r="12" spans="2:7">
      <c r="B12" s="4" t="s">
        <v>163</v>
      </c>
      <c r="C12" s="16">
        <v>3700</v>
      </c>
      <c r="D12" s="4" t="s">
        <v>125</v>
      </c>
      <c r="E12" s="4">
        <v>2</v>
      </c>
      <c r="G12" s="7"/>
    </row>
    <row r="13" spans="2:7">
      <c r="B13" s="4" t="s">
        <v>164</v>
      </c>
      <c r="C13" s="16">
        <v>1500</v>
      </c>
      <c r="D13" s="4" t="s">
        <v>125</v>
      </c>
      <c r="E13" s="4">
        <v>2</v>
      </c>
      <c r="G13" s="7"/>
    </row>
  </sheetData>
  <pageMargins left="0.7" right="0.7" top="0.75" bottom="0.75" header="0.3" footer="0.3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15"/>
  <sheetViews>
    <sheetView workbookViewId="0">
      <selection activeCell="E11" sqref="E11"/>
    </sheetView>
  </sheetViews>
  <sheetFormatPr defaultColWidth="9" defaultRowHeight="14.5" outlineLevelCol="5"/>
  <cols>
    <col min="2" max="3" width="11.2181818181818" customWidth="1"/>
    <col min="4" max="4" width="6.44545454545455" customWidth="1"/>
    <col min="5" max="5" width="17.4454545454545" customWidth="1"/>
  </cols>
  <sheetData>
    <row r="2" ht="21" spans="2:5">
      <c r="B2" s="1" t="s">
        <v>165</v>
      </c>
      <c r="C2" s="1"/>
      <c r="D2" s="25" t="s">
        <v>166</v>
      </c>
      <c r="E2" s="34"/>
    </row>
    <row r="3" spans="5:5">
      <c r="E3" s="7"/>
    </row>
    <row r="4" ht="15.5" spans="2:5">
      <c r="B4" s="2" t="s">
        <v>167</v>
      </c>
      <c r="C4" s="2" t="s">
        <v>168</v>
      </c>
      <c r="E4" s="26" t="s">
        <v>169</v>
      </c>
    </row>
    <row r="5" spans="2:6">
      <c r="B5" s="4" t="s">
        <v>170</v>
      </c>
      <c r="C5" s="4">
        <v>58</v>
      </c>
      <c r="E5" s="27"/>
      <c r="F5" s="7"/>
    </row>
    <row r="6" spans="2:6">
      <c r="B6" s="4" t="s">
        <v>171</v>
      </c>
      <c r="C6" s="4">
        <v>30</v>
      </c>
      <c r="E6" s="28">
        <f>MIN(C5:C15)</f>
        <v>24</v>
      </c>
      <c r="F6" s="7"/>
    </row>
    <row r="7" ht="15.5" spans="1:6">
      <c r="A7" s="29"/>
      <c r="B7" s="4" t="s">
        <v>172</v>
      </c>
      <c r="C7" s="4">
        <v>37</v>
      </c>
      <c r="F7" s="7"/>
    </row>
    <row r="8" ht="15.5" spans="1:6">
      <c r="A8" s="29"/>
      <c r="B8" s="30" t="s">
        <v>173</v>
      </c>
      <c r="C8" s="4">
        <v>96</v>
      </c>
      <c r="E8" s="26" t="s">
        <v>174</v>
      </c>
      <c r="F8" s="7"/>
    </row>
    <row r="9" ht="15.5" spans="1:6">
      <c r="A9" s="29"/>
      <c r="B9" s="31" t="s">
        <v>175</v>
      </c>
      <c r="C9" s="4">
        <v>84</v>
      </c>
      <c r="E9" s="27"/>
      <c r="F9" s="7"/>
    </row>
    <row r="10" ht="15.5" spans="1:6">
      <c r="A10" s="29"/>
      <c r="B10" s="31" t="s">
        <v>176</v>
      </c>
      <c r="C10" s="4">
        <v>89</v>
      </c>
      <c r="E10" s="28">
        <f>MAX(C5:C15)</f>
        <v>96</v>
      </c>
      <c r="F10" s="7"/>
    </row>
    <row r="11" ht="15.5" spans="1:4">
      <c r="A11" s="29"/>
      <c r="B11" s="31" t="s">
        <v>177</v>
      </c>
      <c r="C11" s="4">
        <v>70</v>
      </c>
      <c r="D11" s="7"/>
    </row>
    <row r="12" ht="15.5" spans="1:6">
      <c r="A12" s="29"/>
      <c r="B12" s="31" t="s">
        <v>178</v>
      </c>
      <c r="C12" s="4">
        <v>24</v>
      </c>
      <c r="D12" s="7"/>
      <c r="F12" s="7"/>
    </row>
    <row r="13" ht="15.5" spans="1:6">
      <c r="A13" s="29"/>
      <c r="B13" s="32" t="s">
        <v>179</v>
      </c>
      <c r="C13" s="4">
        <v>62</v>
      </c>
      <c r="D13" s="7"/>
      <c r="F13" s="7"/>
    </row>
    <row r="14" spans="2:4">
      <c r="B14" s="4" t="s">
        <v>180</v>
      </c>
      <c r="C14" s="4">
        <v>78</v>
      </c>
      <c r="D14" s="7"/>
    </row>
    <row r="15" spans="2:3">
      <c r="B15" s="4" t="s">
        <v>181</v>
      </c>
      <c r="C15" s="4">
        <v>72</v>
      </c>
    </row>
  </sheetData>
  <mergeCells count="2">
    <mergeCell ref="E4:E5"/>
    <mergeCell ref="E8:E9"/>
  </mergeCells>
  <pageMargins left="0.7" right="0.7" top="0.75" bottom="0.75" header="0.3" footer="0.3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1"/>
  <sheetViews>
    <sheetView workbookViewId="0">
      <selection activeCell="C5" sqref="C5:C11"/>
    </sheetView>
  </sheetViews>
  <sheetFormatPr defaultColWidth="9" defaultRowHeight="14.5"/>
  <cols>
    <col min="2" max="2" width="37.3363636363636" customWidth="1"/>
    <col min="3" max="3" width="35.1090909090909" customWidth="1"/>
    <col min="4" max="4" width="26.5545454545455" customWidth="1"/>
    <col min="5" max="5" width="10.4454545454545" customWidth="1"/>
  </cols>
  <sheetData>
    <row r="1" spans="10:10">
      <c r="J1" s="10"/>
    </row>
    <row r="2" ht="21" spans="2:2">
      <c r="B2" s="1" t="s">
        <v>182</v>
      </c>
    </row>
    <row r="3" spans="3:3">
      <c r="C3" s="7"/>
    </row>
    <row r="4" ht="15.5" spans="2:3">
      <c r="B4" s="2" t="s">
        <v>183</v>
      </c>
      <c r="C4" s="2" t="s">
        <v>5</v>
      </c>
    </row>
    <row r="5" spans="2:3">
      <c r="B5" s="4" t="s">
        <v>184</v>
      </c>
      <c r="C5" s="28" t="str">
        <f>TRIM(B5)</f>
        <v>Лучшее - враг хорошего</v>
      </c>
    </row>
    <row r="6" spans="2:3">
      <c r="B6" s="4" t="s">
        <v>185</v>
      </c>
      <c r="C6" s="28" t="str">
        <f t="shared" ref="C6:C11" si="0">TRIM(B6)</f>
        <v>Семь раз отмерь - один раз отрежь</v>
      </c>
    </row>
    <row r="7" spans="2:3">
      <c r="B7" s="4" t="s">
        <v>186</v>
      </c>
      <c r="C7" s="28" t="str">
        <f t="shared" si="0"/>
        <v>Слово - не воробей</v>
      </c>
    </row>
    <row r="8" spans="2:3">
      <c r="B8" s="4" t="s">
        <v>187</v>
      </c>
      <c r="C8" s="28" t="str">
        <f t="shared" si="0"/>
        <v>Сделал дело - гуляй смело</v>
      </c>
    </row>
    <row r="9" spans="2:3">
      <c r="B9" s="4" t="s">
        <v>188</v>
      </c>
      <c r="C9" s="28" t="str">
        <f t="shared" si="0"/>
        <v>Цыплят по осени считают</v>
      </c>
    </row>
    <row r="10" spans="2:3">
      <c r="B10" s="40" t="s">
        <v>189</v>
      </c>
      <c r="C10" s="28" t="str">
        <f t="shared" si="0"/>
        <v>Береги честь смолоду</v>
      </c>
    </row>
    <row r="11" spans="2:3">
      <c r="B11" s="40" t="s">
        <v>190</v>
      </c>
      <c r="C11" s="28" t="str">
        <f t="shared" si="0"/>
        <v>Семеро одного не ждут</v>
      </c>
    </row>
  </sheetData>
  <pageMargins left="0.7" right="0.7" top="0.75" bottom="0.75" header="0.3" footer="0.3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5"/>
  <sheetViews>
    <sheetView workbookViewId="0">
      <selection activeCell="D5" sqref="D5:D15"/>
    </sheetView>
  </sheetViews>
  <sheetFormatPr defaultColWidth="9" defaultRowHeight="14.5"/>
  <cols>
    <col min="2" max="2" width="10.1090909090909" customWidth="1"/>
    <col min="3" max="3" width="28.2181818181818" customWidth="1"/>
    <col min="4" max="5" width="15.5545454545455" customWidth="1"/>
    <col min="6" max="6" width="5.44545454545455" customWidth="1"/>
    <col min="7" max="7" width="26.5545454545455" customWidth="1"/>
    <col min="8" max="8" width="10.4454545454545" customWidth="1"/>
  </cols>
  <sheetData>
    <row r="1" spans="10:10">
      <c r="J1" s="10"/>
    </row>
    <row r="2" ht="21" spans="2:4">
      <c r="B2" s="1" t="s">
        <v>191</v>
      </c>
      <c r="D2" s="25"/>
    </row>
    <row r="3" spans="4:5">
      <c r="D3" s="7"/>
      <c r="E3" s="7"/>
    </row>
    <row r="4" ht="31" spans="2:5">
      <c r="B4" s="2" t="s">
        <v>192</v>
      </c>
      <c r="C4" s="2" t="s">
        <v>183</v>
      </c>
      <c r="D4" s="38" t="s">
        <v>193</v>
      </c>
      <c r="E4" s="38" t="s">
        <v>194</v>
      </c>
    </row>
    <row r="5" spans="2:6">
      <c r="B5" s="4" t="s">
        <v>195</v>
      </c>
      <c r="C5" s="48" t="s">
        <v>196</v>
      </c>
      <c r="D5" s="28">
        <f>SEARCH(B5,C5)</f>
        <v>1</v>
      </c>
      <c r="E5" s="28">
        <f>FIND(B5,C5)</f>
        <v>1</v>
      </c>
      <c r="F5" s="7" t="s">
        <v>197</v>
      </c>
    </row>
    <row r="6" spans="2:6">
      <c r="B6" s="4" t="s">
        <v>198</v>
      </c>
      <c r="C6" s="16" t="s">
        <v>199</v>
      </c>
      <c r="D6" s="28">
        <f t="shared" ref="D6:D15" si="0">SEARCH(B6,C6)</f>
        <v>3</v>
      </c>
      <c r="E6" s="28"/>
      <c r="F6" s="7" t="s">
        <v>200</v>
      </c>
    </row>
    <row r="7" spans="2:6">
      <c r="B7" s="4" t="s">
        <v>201</v>
      </c>
      <c r="C7" s="16" t="s">
        <v>202</v>
      </c>
      <c r="D7" s="28">
        <f t="shared" si="0"/>
        <v>6</v>
      </c>
      <c r="E7" s="28"/>
      <c r="F7" s="7" t="s">
        <v>203</v>
      </c>
    </row>
    <row r="8" spans="2:6">
      <c r="B8" s="4" t="s">
        <v>204</v>
      </c>
      <c r="C8" s="48" t="s">
        <v>205</v>
      </c>
      <c r="D8" s="28">
        <f t="shared" si="0"/>
        <v>1</v>
      </c>
      <c r="E8" s="28"/>
      <c r="F8" s="7" t="s">
        <v>206</v>
      </c>
    </row>
    <row r="9" spans="2:6">
      <c r="B9" s="4" t="s">
        <v>207</v>
      </c>
      <c r="C9" s="48" t="s">
        <v>208</v>
      </c>
      <c r="D9" s="28">
        <f t="shared" si="0"/>
        <v>1</v>
      </c>
      <c r="E9" s="28"/>
      <c r="F9" s="7" t="s">
        <v>206</v>
      </c>
    </row>
    <row r="10" spans="2:6">
      <c r="B10" s="40" t="s">
        <v>198</v>
      </c>
      <c r="C10" s="16" t="s">
        <v>209</v>
      </c>
      <c r="D10" s="28" t="e">
        <f t="shared" si="0"/>
        <v>#VALUE!</v>
      </c>
      <c r="E10" s="28"/>
      <c r="F10" s="7" t="s">
        <v>210</v>
      </c>
    </row>
    <row r="11" spans="2:6">
      <c r="B11" s="40" t="s">
        <v>211</v>
      </c>
      <c r="C11" s="48" t="s">
        <v>212</v>
      </c>
      <c r="D11" s="28">
        <f t="shared" si="0"/>
        <v>1</v>
      </c>
      <c r="E11" s="28"/>
      <c r="F11" s="7" t="s">
        <v>213</v>
      </c>
    </row>
    <row r="12" spans="2:6">
      <c r="B12" s="4"/>
      <c r="C12" s="16" t="s">
        <v>209</v>
      </c>
      <c r="D12" s="28">
        <f t="shared" si="0"/>
        <v>1</v>
      </c>
      <c r="E12" s="28"/>
      <c r="F12" s="7" t="s">
        <v>214</v>
      </c>
    </row>
    <row r="13" spans="2:6">
      <c r="B13" s="4" t="s">
        <v>215</v>
      </c>
      <c r="C13" s="16" t="s">
        <v>216</v>
      </c>
      <c r="D13" s="28">
        <f t="shared" si="0"/>
        <v>7</v>
      </c>
      <c r="E13" s="28"/>
      <c r="F13" s="7" t="s">
        <v>217</v>
      </c>
    </row>
    <row r="14" spans="2:6">
      <c r="B14" s="4" t="s">
        <v>218</v>
      </c>
      <c r="C14" s="16" t="s">
        <v>219</v>
      </c>
      <c r="D14" s="28">
        <f t="shared" si="0"/>
        <v>4</v>
      </c>
      <c r="E14" s="28"/>
      <c r="F14" s="7" t="s">
        <v>220</v>
      </c>
    </row>
    <row r="15" spans="2:6">
      <c r="B15" s="40">
        <v>3</v>
      </c>
      <c r="C15" s="4">
        <v>131111</v>
      </c>
      <c r="D15" s="28">
        <f t="shared" si="0"/>
        <v>2</v>
      </c>
      <c r="E15" s="28"/>
      <c r="F15" s="7" t="s">
        <v>221</v>
      </c>
    </row>
  </sheetData>
  <pageMargins left="0.7" right="0.7" top="0.75" bottom="0.75" header="0.3" footer="0.3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8"/>
  <sheetViews>
    <sheetView workbookViewId="0">
      <selection activeCell="C9" sqref="C9"/>
    </sheetView>
  </sheetViews>
  <sheetFormatPr defaultColWidth="9" defaultRowHeight="14.5" outlineLevelRow="7" outlineLevelCol="4"/>
  <cols>
    <col min="2" max="2" width="19.3363636363636" customWidth="1"/>
    <col min="3" max="3" width="32.6363636363636" customWidth="1"/>
    <col min="4" max="4" width="29.5545454545455" customWidth="1"/>
    <col min="5" max="5" width="25.2181818181818" customWidth="1"/>
    <col min="6" max="6" width="26.5545454545455" customWidth="1"/>
    <col min="7" max="7" width="10.4454545454545" customWidth="1"/>
  </cols>
  <sheetData>
    <row r="2" ht="21" spans="2:4">
      <c r="B2" s="25" t="s">
        <v>222</v>
      </c>
      <c r="C2" s="25"/>
      <c r="D2" s="1"/>
    </row>
    <row r="3" spans="4:4">
      <c r="D3" s="7"/>
    </row>
    <row r="4" ht="15.5" spans="2:5">
      <c r="B4" s="2" t="s">
        <v>223</v>
      </c>
      <c r="C4" s="2" t="s">
        <v>224</v>
      </c>
      <c r="D4" s="2" t="s">
        <v>11</v>
      </c>
      <c r="E4" s="2" t="s">
        <v>225</v>
      </c>
    </row>
    <row r="5" spans="2:5">
      <c r="B5" s="4" t="s">
        <v>226</v>
      </c>
      <c r="C5" s="20" t="str">
        <f>SUBSTITUTE(B5,"у","о")</f>
        <v>Стол</v>
      </c>
      <c r="D5" s="46" t="s">
        <v>227</v>
      </c>
      <c r="E5" s="16" t="s">
        <v>228</v>
      </c>
    </row>
    <row r="6" spans="2:5">
      <c r="B6" s="4" t="s">
        <v>229</v>
      </c>
      <c r="C6" s="20" t="str">
        <f>SUBSTITUTE(B6,"о","и",2)</f>
        <v>Помидор</v>
      </c>
      <c r="D6" s="46" t="s">
        <v>230</v>
      </c>
      <c r="E6" s="16" t="s">
        <v>231</v>
      </c>
    </row>
    <row r="7" spans="2:5">
      <c r="B7" s="4" t="s">
        <v>232</v>
      </c>
      <c r="C7" s="20" t="str">
        <f>SUBSTITUTE(B7,"кот","тигр")</f>
        <v>Кот, тигр</v>
      </c>
      <c r="D7" s="46" t="s">
        <v>233</v>
      </c>
      <c r="E7" s="16" t="s">
        <v>234</v>
      </c>
    </row>
    <row r="8" spans="2:5">
      <c r="B8" s="4" t="s">
        <v>235</v>
      </c>
      <c r="C8" s="20" t="str">
        <f>SUBSTITUTE(B8,"#","")</f>
        <v>1825</v>
      </c>
      <c r="D8" s="46" t="s">
        <v>236</v>
      </c>
      <c r="E8" s="16" t="s">
        <v>237</v>
      </c>
    </row>
  </sheetData>
  <pageMargins left="0.7" right="0.7" top="0.75" bottom="0.75" header="0.3" footer="0.3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6"/>
  <sheetViews>
    <sheetView workbookViewId="0">
      <selection activeCell="C5" sqref="C5:C16"/>
    </sheetView>
  </sheetViews>
  <sheetFormatPr defaultColWidth="9" defaultRowHeight="14.5" outlineLevelCol="7"/>
  <cols>
    <col min="2" max="2" width="20" customWidth="1"/>
    <col min="3" max="3" width="20.3363636363636" customWidth="1"/>
    <col min="4" max="4" width="8" customWidth="1"/>
    <col min="6" max="6" width="11.2181818181818" customWidth="1"/>
    <col min="8" max="8" width="11.2181818181818" customWidth="1"/>
  </cols>
  <sheetData>
    <row r="2" ht="21" customHeight="1" spans="2:2">
      <c r="B2" s="1" t="s">
        <v>238</v>
      </c>
    </row>
    <row r="4" ht="15.5" spans="2:3">
      <c r="B4" s="2" t="s">
        <v>239</v>
      </c>
      <c r="C4" s="2" t="s">
        <v>240</v>
      </c>
    </row>
    <row r="5" spans="2:8">
      <c r="B5" s="31" t="s">
        <v>241</v>
      </c>
      <c r="C5" s="28" t="str">
        <f>REPLACE(B5,"5","4","2026")</f>
        <v>ФГС-2026-01</v>
      </c>
      <c r="F5" s="47"/>
      <c r="H5" s="9"/>
    </row>
    <row r="6" spans="2:8">
      <c r="B6" s="31" t="s">
        <v>242</v>
      </c>
      <c r="C6" s="28" t="str">
        <f t="shared" ref="C6:C16" si="0">REPLACE(B6,"5","4","2026")</f>
        <v>ФГС-2026-02</v>
      </c>
      <c r="H6" s="9"/>
    </row>
    <row r="7" spans="2:8">
      <c r="B7" s="31" t="s">
        <v>243</v>
      </c>
      <c r="C7" s="28" t="str">
        <f t="shared" si="0"/>
        <v>ФГС-2026-03</v>
      </c>
      <c r="H7" s="9"/>
    </row>
    <row r="8" spans="2:8">
      <c r="B8" s="31" t="s">
        <v>244</v>
      </c>
      <c r="C8" s="28" t="str">
        <f t="shared" si="0"/>
        <v>ААБ-2026-001</v>
      </c>
      <c r="H8" s="9"/>
    </row>
    <row r="9" spans="2:8">
      <c r="B9" s="31" t="s">
        <v>245</v>
      </c>
      <c r="C9" s="28" t="str">
        <f t="shared" si="0"/>
        <v>ААБ-2026-002</v>
      </c>
      <c r="H9" s="9"/>
    </row>
    <row r="10" spans="2:8">
      <c r="B10" s="31" t="s">
        <v>246</v>
      </c>
      <c r="C10" s="28" t="str">
        <f t="shared" si="0"/>
        <v>ААБ-2026-003</v>
      </c>
      <c r="H10" s="9"/>
    </row>
    <row r="11" spans="2:8">
      <c r="B11" s="31" t="s">
        <v>247</v>
      </c>
      <c r="C11" s="28" t="str">
        <f t="shared" si="0"/>
        <v>ААБ-2026-004</v>
      </c>
      <c r="H11" s="9"/>
    </row>
    <row r="12" spans="2:8">
      <c r="B12" s="31" t="s">
        <v>248</v>
      </c>
      <c r="C12" s="28" t="str">
        <f t="shared" si="0"/>
        <v>НАР-2026-875</v>
      </c>
      <c r="H12" s="9"/>
    </row>
    <row r="13" spans="2:8">
      <c r="B13" s="31" t="s">
        <v>249</v>
      </c>
      <c r="C13" s="28" t="str">
        <f t="shared" si="0"/>
        <v>НАР-2026-876</v>
      </c>
      <c r="H13" s="9"/>
    </row>
    <row r="14" spans="2:3">
      <c r="B14" s="31" t="s">
        <v>250</v>
      </c>
      <c r="C14" s="28" t="str">
        <f t="shared" si="0"/>
        <v>НАР-2026-877</v>
      </c>
    </row>
    <row r="15" spans="2:3">
      <c r="B15" s="31" t="s">
        <v>251</v>
      </c>
      <c r="C15" s="28" t="str">
        <f t="shared" si="0"/>
        <v>ПУИ-2026-003</v>
      </c>
    </row>
    <row r="16" spans="2:3">
      <c r="B16" s="31" t="s">
        <v>252</v>
      </c>
      <c r="C16" s="28" t="str">
        <f t="shared" si="0"/>
        <v>ПУИ-2026-004</v>
      </c>
    </row>
  </sheetData>
  <pageMargins left="0.7" right="0.7" top="0.75" bottom="0.75" header="0.3" footer="0.3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5"/>
  <sheetViews>
    <sheetView workbookViewId="0">
      <selection activeCell="C16" sqref="C16"/>
    </sheetView>
  </sheetViews>
  <sheetFormatPr defaultColWidth="9" defaultRowHeight="14.5" outlineLevelCol="4"/>
  <cols>
    <col min="2" max="2" width="19.3363636363636" customWidth="1"/>
    <col min="3" max="3" width="25.4545454545455" customWidth="1"/>
    <col min="4" max="4" width="19.6636363636364" customWidth="1"/>
    <col min="5" max="5" width="5.44545454545455" customWidth="1"/>
    <col min="6" max="6" width="26.5545454545455" customWidth="1"/>
    <col min="7" max="7" width="10.4454545454545" customWidth="1"/>
  </cols>
  <sheetData>
    <row r="2" ht="21" spans="2:4">
      <c r="B2" s="25" t="s">
        <v>253</v>
      </c>
      <c r="C2" s="25" t="s">
        <v>254</v>
      </c>
      <c r="D2" s="1"/>
    </row>
    <row r="3" spans="4:4">
      <c r="D3" s="7"/>
    </row>
    <row r="4" ht="15.5" spans="2:4">
      <c r="B4" s="2" t="s">
        <v>192</v>
      </c>
      <c r="C4" s="2" t="s">
        <v>5</v>
      </c>
      <c r="D4" s="2" t="s">
        <v>11</v>
      </c>
    </row>
    <row r="5" spans="2:5">
      <c r="B5" s="4" t="s">
        <v>255</v>
      </c>
      <c r="C5" s="20" t="str">
        <f>LEFT(B5)</f>
        <v>А</v>
      </c>
      <c r="D5" s="46" t="s">
        <v>256</v>
      </c>
      <c r="E5" s="7"/>
    </row>
    <row r="6" spans="2:5">
      <c r="B6" s="4" t="s">
        <v>255</v>
      </c>
      <c r="C6" s="20" t="str">
        <f>RIGHT(B6)</f>
        <v>В</v>
      </c>
      <c r="D6" s="46" t="s">
        <v>257</v>
      </c>
      <c r="E6" s="7"/>
    </row>
    <row r="7" spans="5:5">
      <c r="E7" s="7"/>
    </row>
    <row r="8" spans="2:5">
      <c r="B8" s="4" t="s">
        <v>258</v>
      </c>
      <c r="C8" s="20" t="str">
        <f>LEFT(B8,4)</f>
        <v>Мама</v>
      </c>
      <c r="D8" s="46" t="s">
        <v>259</v>
      </c>
      <c r="E8" s="7"/>
    </row>
    <row r="9" spans="2:5">
      <c r="B9" s="4" t="s">
        <v>258</v>
      </c>
      <c r="C9" s="20" t="str">
        <f>RIGHT(B9,4)</f>
        <v>раму</v>
      </c>
      <c r="D9" s="46" t="s">
        <v>260</v>
      </c>
      <c r="E9" s="7"/>
    </row>
    <row r="10" spans="5:5">
      <c r="E10" s="7"/>
    </row>
    <row r="11" spans="2:5">
      <c r="B11" s="40" t="s">
        <v>261</v>
      </c>
      <c r="C11" s="20" t="str">
        <f>LEFT(B11,3)</f>
        <v>909</v>
      </c>
      <c r="D11" s="46" t="s">
        <v>262</v>
      </c>
      <c r="E11" s="7"/>
    </row>
    <row r="12" spans="2:5">
      <c r="B12" s="40" t="s">
        <v>261</v>
      </c>
      <c r="C12" s="20" t="str">
        <f>RIGHT(B12,5)</f>
        <v>66-55</v>
      </c>
      <c r="D12" s="46" t="s">
        <v>263</v>
      </c>
      <c r="E12" s="7"/>
    </row>
    <row r="14" spans="2:4">
      <c r="B14" s="90" t="s">
        <v>264</v>
      </c>
      <c r="C14" s="20" t="str">
        <f>LEFT(B14,4)</f>
        <v>7500</v>
      </c>
      <c r="D14" s="46" t="s">
        <v>265</v>
      </c>
    </row>
    <row r="15" spans="2:4">
      <c r="B15" s="90" t="s">
        <v>264</v>
      </c>
      <c r="C15" s="20" t="str">
        <f>RIGHT(B15,6)</f>
        <v>221155</v>
      </c>
      <c r="D15" s="46" t="s">
        <v>266</v>
      </c>
    </row>
  </sheetData>
  <pageMargins left="0.7" right="0.7" top="0.75" bottom="0.75" header="0.3" footer="0.3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5"/>
  <sheetViews>
    <sheetView workbookViewId="0">
      <selection activeCell="C5" sqref="C5:C15"/>
    </sheetView>
  </sheetViews>
  <sheetFormatPr defaultColWidth="9" defaultRowHeight="14.5" outlineLevelCol="4"/>
  <cols>
    <col min="2" max="2" width="14.4454545454545" customWidth="1"/>
    <col min="3" max="3" width="21.3363636363636" customWidth="1"/>
    <col min="4" max="4" width="16.2181818181818" customWidth="1"/>
    <col min="5" max="5" width="26.5545454545455" customWidth="1"/>
    <col min="6" max="6" width="10.4454545454545" customWidth="1"/>
  </cols>
  <sheetData>
    <row r="2" ht="21" spans="2:5">
      <c r="B2" s="1" t="s">
        <v>267</v>
      </c>
      <c r="E2" s="44"/>
    </row>
    <row r="3" spans="3:3">
      <c r="C3" s="7"/>
    </row>
    <row r="4" ht="15.5" spans="2:3">
      <c r="B4" s="2" t="s">
        <v>183</v>
      </c>
      <c r="C4" s="2" t="s">
        <v>5</v>
      </c>
    </row>
    <row r="5" spans="2:4">
      <c r="B5" s="4" t="s">
        <v>268</v>
      </c>
      <c r="C5" s="28">
        <f>LEN(B5)</f>
        <v>3</v>
      </c>
      <c r="D5" s="7" t="s">
        <v>269</v>
      </c>
    </row>
    <row r="6" spans="2:4">
      <c r="B6" s="4" t="s">
        <v>270</v>
      </c>
      <c r="C6" s="28">
        <f t="shared" ref="C6:C15" si="0">LEN(B6)</f>
        <v>4</v>
      </c>
      <c r="D6" s="7" t="s">
        <v>271</v>
      </c>
    </row>
    <row r="7" spans="2:4">
      <c r="B7" s="4" t="s">
        <v>272</v>
      </c>
      <c r="C7" s="28">
        <f t="shared" si="0"/>
        <v>3</v>
      </c>
      <c r="D7" s="7" t="s">
        <v>273</v>
      </c>
    </row>
    <row r="8" spans="2:4">
      <c r="B8" s="4" t="s">
        <v>274</v>
      </c>
      <c r="C8" s="28">
        <f t="shared" si="0"/>
        <v>11</v>
      </c>
      <c r="D8" s="7" t="s">
        <v>275</v>
      </c>
    </row>
    <row r="9" spans="2:4">
      <c r="B9" s="4"/>
      <c r="C9" s="28">
        <f t="shared" si="0"/>
        <v>0</v>
      </c>
      <c r="D9" s="7" t="s">
        <v>276</v>
      </c>
    </row>
    <row r="10" spans="2:4">
      <c r="B10" s="40">
        <v>1000</v>
      </c>
      <c r="C10" s="28">
        <f t="shared" si="0"/>
        <v>4</v>
      </c>
      <c r="D10" s="7" t="s">
        <v>277</v>
      </c>
    </row>
    <row r="11" spans="2:4">
      <c r="B11" s="42">
        <v>1000</v>
      </c>
      <c r="C11" s="28">
        <f t="shared" si="0"/>
        <v>4</v>
      </c>
      <c r="D11" s="7" t="s">
        <v>278</v>
      </c>
    </row>
    <row r="12" spans="2:4">
      <c r="B12" s="31">
        <v>47112</v>
      </c>
      <c r="C12" s="28">
        <f t="shared" si="0"/>
        <v>5</v>
      </c>
      <c r="D12" s="7" t="s">
        <v>279</v>
      </c>
    </row>
    <row r="13" spans="2:4">
      <c r="B13" s="4">
        <v>106.99</v>
      </c>
      <c r="C13" s="28">
        <f t="shared" si="0"/>
        <v>6</v>
      </c>
      <c r="D13" s="7" t="s">
        <v>280</v>
      </c>
    </row>
    <row r="14" spans="2:4">
      <c r="B14" s="45">
        <v>3.14159265358979</v>
      </c>
      <c r="C14" s="28">
        <f t="shared" si="0"/>
        <v>16</v>
      </c>
      <c r="D14" s="7" t="s">
        <v>281</v>
      </c>
    </row>
    <row r="15" spans="2:4">
      <c r="B15" s="43">
        <v>-1.75</v>
      </c>
      <c r="C15" s="28">
        <f t="shared" si="0"/>
        <v>5</v>
      </c>
      <c r="D15" s="7" t="s">
        <v>282</v>
      </c>
    </row>
  </sheetData>
  <pageMargins left="0.7" right="0.7" top="0.75" bottom="0.75" header="0.3" footer="0.3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5"/>
  <sheetViews>
    <sheetView workbookViewId="0">
      <selection activeCell="E16" sqref="E16"/>
    </sheetView>
  </sheetViews>
  <sheetFormatPr defaultColWidth="9" defaultRowHeight="14.5"/>
  <cols>
    <col min="2" max="3" width="12.4454545454545" customWidth="1"/>
    <col min="4" max="4" width="13.1090909090909" customWidth="1"/>
    <col min="5" max="5" width="29.3363636363636" customWidth="1"/>
  </cols>
  <sheetData>
    <row r="1" spans="9:9">
      <c r="I1" s="10"/>
    </row>
    <row r="2" ht="21" spans="2:5">
      <c r="B2" s="1" t="s">
        <v>283</v>
      </c>
      <c r="C2" s="33"/>
      <c r="D2" s="25"/>
      <c r="E2" s="34"/>
    </row>
    <row r="3" spans="4:5">
      <c r="D3" s="7"/>
      <c r="E3" s="91" t="s">
        <v>284</v>
      </c>
    </row>
    <row r="4" ht="15.5" spans="2:5">
      <c r="B4" s="2" t="s">
        <v>69</v>
      </c>
      <c r="C4" s="2" t="s">
        <v>70</v>
      </c>
      <c r="D4" s="2" t="s">
        <v>71</v>
      </c>
      <c r="E4" s="19" t="s">
        <v>285</v>
      </c>
    </row>
    <row r="5" spans="2:5">
      <c r="B5" s="4" t="s">
        <v>286</v>
      </c>
      <c r="C5" s="16" t="s">
        <v>287</v>
      </c>
      <c r="D5" s="43" t="s">
        <v>288</v>
      </c>
      <c r="E5" s="28" t="str">
        <f>CONCATENATE(B5,",",C5,",",D5)</f>
        <v>А,Б,В</v>
      </c>
    </row>
    <row r="6" spans="2:5">
      <c r="B6" s="4">
        <v>1</v>
      </c>
      <c r="C6" s="4">
        <v>2</v>
      </c>
      <c r="D6" s="43">
        <v>3</v>
      </c>
      <c r="E6" s="28" t="str">
        <f>CONCATENATE(B6,C6,D6)</f>
        <v>123</v>
      </c>
    </row>
    <row r="7" spans="2:5">
      <c r="B7" s="4" t="s">
        <v>289</v>
      </c>
      <c r="C7" s="16" t="s">
        <v>290</v>
      </c>
      <c r="D7" s="43" t="s">
        <v>291</v>
      </c>
      <c r="E7" s="28" t="str">
        <f>CONCATENATE(B7,C7,D7)</f>
        <v>сливыяблокигруши</v>
      </c>
    </row>
    <row r="8" spans="2:5">
      <c r="B8" s="4" t="s">
        <v>292</v>
      </c>
      <c r="C8" s="16" t="s">
        <v>293</v>
      </c>
      <c r="D8" s="43" t="s">
        <v>294</v>
      </c>
      <c r="E8" s="28" t="str">
        <f>CONCATENATE(B8,C8,D8)</f>
        <v>красныйсинийзеленый</v>
      </c>
    </row>
    <row r="10" spans="5:5">
      <c r="E10" s="91" t="s">
        <v>295</v>
      </c>
    </row>
    <row r="11" spans="2:5">
      <c r="B11" s="4" t="s">
        <v>292</v>
      </c>
      <c r="C11" s="16" t="s">
        <v>293</v>
      </c>
      <c r="D11" s="43"/>
      <c r="E11" s="28" t="str">
        <f>CONCATENATE(B11," и ",C11)</f>
        <v>красный и синий</v>
      </c>
    </row>
    <row r="13" spans="5:5">
      <c r="E13" s="91" t="s">
        <v>296</v>
      </c>
    </row>
    <row r="14" ht="15.5" spans="2:5">
      <c r="B14" s="2" t="s">
        <v>297</v>
      </c>
      <c r="C14" s="2" t="s">
        <v>298</v>
      </c>
      <c r="D14" s="2" t="s">
        <v>299</v>
      </c>
      <c r="E14" s="19" t="s">
        <v>285</v>
      </c>
    </row>
    <row r="15" spans="2:5">
      <c r="B15" s="4" t="s">
        <v>300</v>
      </c>
      <c r="C15" s="16" t="s">
        <v>301</v>
      </c>
      <c r="D15" s="43" t="s">
        <v>302</v>
      </c>
      <c r="E15" s="28" t="str">
        <f>CONCATENATE(D15," , ",B15," ",C15)</f>
        <v>Уважаемый , Петр Петрович</v>
      </c>
    </row>
  </sheetData>
  <pageMargins left="0.7" right="0.7" top="0.75" bottom="0.75" header="0.3" footer="0.3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3"/>
  <sheetViews>
    <sheetView workbookViewId="0">
      <selection activeCell="E5" sqref="E5:E13"/>
    </sheetView>
  </sheetViews>
  <sheetFormatPr defaultColWidth="9" defaultRowHeight="14.5" outlineLevelCol="6"/>
  <cols>
    <col min="2" max="2" width="18.8909090909091" customWidth="1"/>
    <col min="3" max="3" width="16.4454545454545" customWidth="1"/>
    <col min="4" max="4" width="15.3363636363636" customWidth="1"/>
    <col min="5" max="5" width="16.7818181818182" customWidth="1"/>
    <col min="6" max="6" width="5.44545454545455" customWidth="1"/>
    <col min="7" max="7" width="19.6636363636364" customWidth="1"/>
    <col min="8" max="8" width="10.4454545454545" customWidth="1"/>
  </cols>
  <sheetData>
    <row r="2" ht="21" spans="2:5">
      <c r="B2" s="1" t="s">
        <v>303</v>
      </c>
      <c r="C2" s="25" t="s">
        <v>304</v>
      </c>
      <c r="D2" s="34"/>
      <c r="E2" s="34" t="s">
        <v>305</v>
      </c>
    </row>
    <row r="3" spans="4:5">
      <c r="D3" s="7"/>
      <c r="E3" s="7"/>
    </row>
    <row r="4" ht="15.5" spans="2:5">
      <c r="B4" s="2" t="s">
        <v>116</v>
      </c>
      <c r="C4" s="2" t="s">
        <v>303</v>
      </c>
      <c r="D4" s="2" t="s">
        <v>304</v>
      </c>
      <c r="E4" s="19" t="s">
        <v>306</v>
      </c>
    </row>
    <row r="5" spans="2:5">
      <c r="B5" s="4" t="s">
        <v>307</v>
      </c>
      <c r="C5" s="20" t="str">
        <f>LOWER(B5)</f>
        <v>книга</v>
      </c>
      <c r="D5" s="41" t="str">
        <f>PROPER(B5)</f>
        <v>Книга</v>
      </c>
      <c r="E5" s="28" t="str">
        <f>UPPER(B5)</f>
        <v>КНИГА</v>
      </c>
    </row>
    <row r="6" spans="2:5">
      <c r="B6" s="4" t="s">
        <v>308</v>
      </c>
      <c r="C6" s="20" t="str">
        <f t="shared" ref="C6:C13" si="0">LOWER(B6)</f>
        <v>книга</v>
      </c>
      <c r="D6" s="41" t="str">
        <f t="shared" ref="D6:D13" si="1">PROPER(B6)</f>
        <v>Книга</v>
      </c>
      <c r="E6" s="28" t="str">
        <f t="shared" ref="E6:E13" si="2">UPPER(B6)</f>
        <v>КНИГА</v>
      </c>
    </row>
    <row r="7" spans="2:5">
      <c r="B7" s="4" t="s">
        <v>309</v>
      </c>
      <c r="C7" s="20" t="str">
        <f t="shared" si="0"/>
        <v>а.с. пушкин</v>
      </c>
      <c r="D7" s="41" t="str">
        <f t="shared" si="1"/>
        <v>А.С. Пушкин</v>
      </c>
      <c r="E7" s="28" t="str">
        <f t="shared" si="2"/>
        <v>А.С. ПУШКИН</v>
      </c>
    </row>
    <row r="8" spans="2:5">
      <c r="B8" s="4" t="s">
        <v>310</v>
      </c>
      <c r="C8" s="20" t="str">
        <f t="shared" si="0"/>
        <v>яблоки, груши</v>
      </c>
      <c r="D8" s="41" t="str">
        <f t="shared" si="1"/>
        <v>Яблоки, Груши</v>
      </c>
      <c r="E8" s="28" t="str">
        <f t="shared" si="2"/>
        <v>ЯБЛОКИ, ГРУШИ</v>
      </c>
    </row>
    <row r="9" spans="2:5">
      <c r="B9" s="4" t="s">
        <v>311</v>
      </c>
      <c r="C9" s="20" t="str">
        <f t="shared" si="0"/>
        <v>ик-0002536</v>
      </c>
      <c r="D9" s="41" t="str">
        <f t="shared" si="1"/>
        <v>Ик-0002536</v>
      </c>
      <c r="E9" s="28" t="str">
        <f t="shared" si="2"/>
        <v>ИК-0002536</v>
      </c>
    </row>
    <row r="10" spans="2:6">
      <c r="B10" s="4" t="s">
        <v>312</v>
      </c>
      <c r="C10" s="20" t="str">
        <f t="shared" si="0"/>
        <v>ик-0002536-чб</v>
      </c>
      <c r="D10" s="41" t="str">
        <f t="shared" si="1"/>
        <v>Ик-0002536-Чб</v>
      </c>
      <c r="E10" s="28" t="str">
        <f t="shared" si="2"/>
        <v>ИК-0002536-ЧБ</v>
      </c>
      <c r="F10" s="7"/>
    </row>
    <row r="11" spans="2:6">
      <c r="B11" s="4">
        <v>12345</v>
      </c>
      <c r="C11" s="20" t="str">
        <f t="shared" si="0"/>
        <v>12345</v>
      </c>
      <c r="D11" s="41" t="str">
        <f t="shared" si="1"/>
        <v>12345</v>
      </c>
      <c r="E11" s="28" t="str">
        <f t="shared" si="2"/>
        <v>12345</v>
      </c>
      <c r="F11" s="7" t="s">
        <v>313</v>
      </c>
    </row>
    <row r="12" spans="2:7">
      <c r="B12" s="42">
        <v>10000</v>
      </c>
      <c r="C12" s="20" t="str">
        <f t="shared" si="0"/>
        <v>10000</v>
      </c>
      <c r="D12" s="41" t="str">
        <f t="shared" si="1"/>
        <v>10000</v>
      </c>
      <c r="E12" s="28" t="str">
        <f t="shared" si="2"/>
        <v>10000</v>
      </c>
      <c r="F12" s="7" t="s">
        <v>314</v>
      </c>
      <c r="G12" s="7"/>
    </row>
    <row r="13" spans="2:7">
      <c r="B13" s="31">
        <v>47112</v>
      </c>
      <c r="C13" s="20" t="str">
        <f t="shared" si="0"/>
        <v>47112</v>
      </c>
      <c r="D13" s="41" t="str">
        <f t="shared" si="1"/>
        <v>47112</v>
      </c>
      <c r="E13" s="28" t="str">
        <f t="shared" si="2"/>
        <v>47112</v>
      </c>
      <c r="F13" s="7" t="s">
        <v>314</v>
      </c>
      <c r="G13" s="7"/>
    </row>
  </sheetData>
  <pageMargins left="0.7" right="0.7" top="0.75" bottom="0.75" header="0.3" footer="0.3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G9" sqref="G9"/>
    </sheetView>
  </sheetViews>
  <sheetFormatPr defaultColWidth="9" defaultRowHeight="14.5"/>
  <cols>
    <col min="2" max="2" width="11.2181818181818" customWidth="1"/>
    <col min="3" max="4" width="13.3363636363636" customWidth="1"/>
    <col min="5" max="5" width="4" customWidth="1"/>
    <col min="6" max="6" width="12" customWidth="1"/>
  </cols>
  <sheetData>
    <row r="1" spans="10:10">
      <c r="J1" s="10"/>
    </row>
    <row r="2" ht="21" spans="2:4">
      <c r="B2" s="1" t="s">
        <v>315</v>
      </c>
      <c r="C2" s="1"/>
      <c r="D2" s="25" t="s">
        <v>316</v>
      </c>
    </row>
    <row r="4" ht="31" spans="2:7">
      <c r="B4" s="2" t="s">
        <v>317</v>
      </c>
      <c r="C4" s="38" t="s">
        <v>318</v>
      </c>
      <c r="D4" s="38" t="s">
        <v>319</v>
      </c>
      <c r="G4" s="14" t="s">
        <v>320</v>
      </c>
    </row>
    <row r="5" spans="2:7">
      <c r="B5" s="4" t="s">
        <v>111</v>
      </c>
      <c r="C5" s="39" t="str">
        <f>IF(COUNT(B5)&gt;0,"да","")</f>
        <v/>
      </c>
      <c r="D5" s="4" t="str">
        <f>IF(COUNTA(B5)&gt;0,"да","")</f>
        <v>да</v>
      </c>
      <c r="E5" s="7" t="s">
        <v>321</v>
      </c>
      <c r="G5" s="28">
        <f>COUNT(C5:C15)</f>
        <v>0</v>
      </c>
    </row>
    <row r="6" spans="2:5">
      <c r="B6" s="4">
        <v>18</v>
      </c>
      <c r="C6" s="39" t="str">
        <f t="shared" ref="C6:C15" si="0">IF(COUNT(B6)&gt;0,"да","")</f>
        <v>да</v>
      </c>
      <c r="D6" s="4" t="str">
        <f t="shared" ref="D6:D15" si="1">IF(COUNTA(B6)&gt;0,"да","")</f>
        <v>да</v>
      </c>
      <c r="E6" s="7" t="s">
        <v>322</v>
      </c>
    </row>
    <row r="7" ht="15.5" spans="1:7">
      <c r="A7" s="29"/>
      <c r="B7" s="30">
        <v>0.73</v>
      </c>
      <c r="C7" s="39" t="str">
        <f t="shared" si="0"/>
        <v>да</v>
      </c>
      <c r="D7" s="4" t="str">
        <f t="shared" si="1"/>
        <v>да</v>
      </c>
      <c r="E7" s="7" t="s">
        <v>323</v>
      </c>
      <c r="G7" s="14" t="s">
        <v>316</v>
      </c>
    </row>
    <row r="8" ht="15.5" spans="1:7">
      <c r="A8" s="29"/>
      <c r="B8" s="4">
        <v>4.4</v>
      </c>
      <c r="C8" s="39" t="str">
        <f t="shared" si="0"/>
        <v>да</v>
      </c>
      <c r="D8" s="4" t="str">
        <f t="shared" si="1"/>
        <v>да</v>
      </c>
      <c r="E8" s="7" t="s">
        <v>324</v>
      </c>
      <c r="G8" s="28">
        <f>COUNTA(D5:D15)</f>
        <v>11</v>
      </c>
    </row>
    <row r="9" ht="15.5" spans="1:7">
      <c r="A9" s="29"/>
      <c r="B9" s="40">
        <v>-1</v>
      </c>
      <c r="C9" s="39" t="str">
        <f t="shared" si="0"/>
        <v>да</v>
      </c>
      <c r="D9" s="4" t="str">
        <f t="shared" si="1"/>
        <v>да</v>
      </c>
      <c r="E9" s="7" t="s">
        <v>76</v>
      </c>
      <c r="G9" s="7"/>
    </row>
    <row r="10" ht="15.5" spans="1:7">
      <c r="A10" s="29"/>
      <c r="B10" s="4" t="s">
        <v>325</v>
      </c>
      <c r="C10" s="39" t="str">
        <f t="shared" si="0"/>
        <v/>
      </c>
      <c r="D10" s="4" t="str">
        <f t="shared" si="1"/>
        <v>да</v>
      </c>
      <c r="E10" s="7" t="s">
        <v>326</v>
      </c>
      <c r="G10" s="7"/>
    </row>
    <row r="11" ht="15.5" spans="1:9">
      <c r="A11" s="29"/>
      <c r="B11" s="40"/>
      <c r="C11" s="39" t="str">
        <f t="shared" si="0"/>
        <v/>
      </c>
      <c r="D11" s="4" t="str">
        <f t="shared" si="1"/>
        <v/>
      </c>
      <c r="E11" s="7" t="s">
        <v>327</v>
      </c>
      <c r="I11" s="7"/>
    </row>
    <row r="12" ht="15.5" spans="1:7">
      <c r="A12" s="29"/>
      <c r="B12" s="31">
        <v>46798</v>
      </c>
      <c r="C12" s="39" t="str">
        <f t="shared" si="0"/>
        <v>да</v>
      </c>
      <c r="D12" s="4" t="str">
        <f t="shared" si="1"/>
        <v>да</v>
      </c>
      <c r="E12" s="7" t="s">
        <v>328</v>
      </c>
      <c r="G12" s="7"/>
    </row>
    <row r="13" ht="15.5" spans="1:7">
      <c r="A13" s="29"/>
      <c r="B13" s="35">
        <v>0.763888888888889</v>
      </c>
      <c r="C13" s="39" t="str">
        <f t="shared" si="0"/>
        <v>да</v>
      </c>
      <c r="D13" s="4" t="str">
        <f t="shared" si="1"/>
        <v>да</v>
      </c>
      <c r="E13" s="7" t="s">
        <v>329</v>
      </c>
      <c r="G13" s="7"/>
    </row>
    <row r="14" spans="2:5">
      <c r="B14" s="4" t="str">
        <f>"0024"</f>
        <v>0024</v>
      </c>
      <c r="C14" s="39" t="str">
        <f t="shared" si="0"/>
        <v/>
      </c>
      <c r="D14" s="4" t="str">
        <f t="shared" si="1"/>
        <v>да</v>
      </c>
      <c r="E14" s="7" t="s">
        <v>330</v>
      </c>
    </row>
    <row r="15" spans="2:5">
      <c r="B15" s="4" t="e">
        <f>VLOOKUP(B14,B5:B6,1,0)</f>
        <v>#N/A</v>
      </c>
      <c r="C15" s="39" t="str">
        <f t="shared" si="0"/>
        <v/>
      </c>
      <c r="D15" s="4" t="str">
        <f t="shared" si="1"/>
        <v>да</v>
      </c>
      <c r="E15" s="7" t="s">
        <v>331</v>
      </c>
    </row>
  </sheetData>
  <conditionalFormatting sqref="C5:D15">
    <cfRule type="cellIs" dxfId="0" priority="1" operator="equal">
      <formula>""</formula>
    </cfRule>
  </conditionalFormatting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D7" sqref="D7"/>
    </sheetView>
  </sheetViews>
  <sheetFormatPr defaultColWidth="9" defaultRowHeight="14.5" outlineLevelCol="4"/>
  <cols>
    <col min="2" max="2" width="14" customWidth="1"/>
    <col min="3" max="3" width="9.33636363636364" customWidth="1"/>
    <col min="4" max="4" width="17.4454545454545" customWidth="1"/>
  </cols>
  <sheetData>
    <row r="2" ht="21" spans="2:4">
      <c r="B2" s="1" t="s">
        <v>332</v>
      </c>
      <c r="D2" s="34"/>
    </row>
    <row r="3" spans="4:4">
      <c r="D3" s="7"/>
    </row>
    <row r="4" ht="15.5" spans="2:4">
      <c r="B4" s="2" t="s">
        <v>317</v>
      </c>
      <c r="D4" s="26" t="s">
        <v>333</v>
      </c>
    </row>
    <row r="5" spans="2:5">
      <c r="B5" s="4" t="s">
        <v>334</v>
      </c>
      <c r="D5" s="27"/>
      <c r="E5" s="7"/>
    </row>
    <row r="6" spans="2:5">
      <c r="B6" s="4" t="s">
        <v>335</v>
      </c>
      <c r="D6" s="28">
        <f>COUNTBLANK(B5:B15)</f>
        <v>3</v>
      </c>
      <c r="E6" s="7"/>
    </row>
    <row r="7" ht="15.5" spans="1:5">
      <c r="A7" s="29"/>
      <c r="B7" s="4">
        <v>100</v>
      </c>
      <c r="E7" s="7"/>
    </row>
    <row r="8" ht="15.5" spans="1:3">
      <c r="A8" s="3">
        <v>1</v>
      </c>
      <c r="B8" s="30"/>
      <c r="C8" s="7" t="s">
        <v>327</v>
      </c>
    </row>
    <row r="9" ht="15.5" spans="1:3">
      <c r="A9" s="3"/>
      <c r="B9" s="36">
        <v>0.3</v>
      </c>
      <c r="C9" s="7"/>
    </row>
    <row r="10" ht="15.5" spans="1:3">
      <c r="A10" s="3">
        <v>2</v>
      </c>
      <c r="B10" s="31"/>
      <c r="C10" s="7" t="s">
        <v>327</v>
      </c>
    </row>
    <row r="11" ht="15.5" spans="1:3">
      <c r="A11" s="3"/>
      <c r="B11" s="4">
        <v>0.5</v>
      </c>
      <c r="C11" s="7"/>
    </row>
    <row r="12" ht="15.5" spans="1:5">
      <c r="A12" s="3"/>
      <c r="B12" s="31" t="s">
        <v>336</v>
      </c>
      <c r="C12" s="7" t="s">
        <v>337</v>
      </c>
      <c r="E12" s="7"/>
    </row>
    <row r="13" ht="15.5" spans="1:5">
      <c r="A13" s="3">
        <v>3</v>
      </c>
      <c r="B13" s="32" t="str">
        <f>""</f>
        <v/>
      </c>
      <c r="C13" s="7" t="s">
        <v>338</v>
      </c>
      <c r="E13" s="7"/>
    </row>
    <row r="14" spans="1:2">
      <c r="A14" s="37"/>
      <c r="B14" s="31">
        <v>47044</v>
      </c>
    </row>
    <row r="15" spans="1:2">
      <c r="A15" s="37"/>
      <c r="B15" s="4" t="e">
        <f>VLOOKUP(B11,B6:B8,1,0)</f>
        <v>#N/A</v>
      </c>
    </row>
  </sheetData>
  <mergeCells count="1">
    <mergeCell ref="D4:D5"/>
  </mergeCells>
  <pageMargins left="0.7" right="0.7" top="0.75" bottom="0.75" header="0.3" footer="0.3"/>
  <headerFooter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4"/>
  <sheetViews>
    <sheetView workbookViewId="0">
      <selection activeCell="M6" sqref="M6"/>
    </sheetView>
  </sheetViews>
  <sheetFormatPr defaultColWidth="9" defaultRowHeight="14.5"/>
  <cols>
    <col min="2" max="2" width="14" customWidth="1"/>
    <col min="3" max="5" width="13.7818181818182" customWidth="1"/>
    <col min="6" max="6" width="11.2181818181818" customWidth="1"/>
    <col min="8" max="8" width="11.2181818181818" customWidth="1"/>
  </cols>
  <sheetData>
    <row r="1" spans="10:10">
      <c r="J1" s="10"/>
    </row>
    <row r="2" ht="21" spans="2:4">
      <c r="B2" s="1" t="s">
        <v>339</v>
      </c>
      <c r="C2" s="33" t="s">
        <v>340</v>
      </c>
      <c r="D2" s="34" t="s">
        <v>341</v>
      </c>
    </row>
    <row r="3" spans="3:5">
      <c r="C3" s="7"/>
      <c r="D3" s="7"/>
      <c r="E3" s="7"/>
    </row>
    <row r="4" ht="15.5" spans="2:5">
      <c r="B4" s="2" t="s">
        <v>317</v>
      </c>
      <c r="C4" s="2" t="s">
        <v>339</v>
      </c>
      <c r="D4" s="2" t="s">
        <v>340</v>
      </c>
      <c r="E4" s="2" t="s">
        <v>341</v>
      </c>
    </row>
    <row r="5" spans="2:8">
      <c r="B5" s="31" t="s">
        <v>334</v>
      </c>
      <c r="C5" s="28" t="b">
        <f>ISBLANK(B5)</f>
        <v>0</v>
      </c>
      <c r="D5" s="28" t="b">
        <f>ISTEXT(B5)</f>
        <v>1</v>
      </c>
      <c r="E5" s="28" t="b">
        <f>ISNUMBER(B5)</f>
        <v>0</v>
      </c>
      <c r="F5" s="7" t="s">
        <v>342</v>
      </c>
      <c r="H5" s="9"/>
    </row>
    <row r="6" spans="2:8">
      <c r="B6" s="31"/>
      <c r="C6" s="28" t="b">
        <f t="shared" ref="C6:C14" si="0">ISBLANK(B6)</f>
        <v>1</v>
      </c>
      <c r="D6" s="28" t="b">
        <f t="shared" ref="D6:D14" si="1">ISTEXT(B6)</f>
        <v>0</v>
      </c>
      <c r="E6" s="28" t="b">
        <f t="shared" ref="E6:E14" si="2">ISNUMBER(B6)</f>
        <v>0</v>
      </c>
      <c r="F6" s="7" t="s">
        <v>343</v>
      </c>
      <c r="H6" s="9"/>
    </row>
    <row r="7" spans="2:8">
      <c r="B7" s="31" t="s">
        <v>336</v>
      </c>
      <c r="C7" s="28" t="b">
        <f t="shared" si="0"/>
        <v>0</v>
      </c>
      <c r="D7" s="28" t="b">
        <f t="shared" si="1"/>
        <v>1</v>
      </c>
      <c r="E7" s="28" t="b">
        <f t="shared" si="2"/>
        <v>0</v>
      </c>
      <c r="F7" s="7" t="s">
        <v>344</v>
      </c>
      <c r="H7" s="9"/>
    </row>
    <row r="8" spans="2:8">
      <c r="B8" s="12" t="str">
        <f>IF($C$5=FALSE,"",1)</f>
        <v/>
      </c>
      <c r="C8" s="28" t="b">
        <f t="shared" si="0"/>
        <v>0</v>
      </c>
      <c r="D8" s="28" t="b">
        <f t="shared" si="1"/>
        <v>1</v>
      </c>
      <c r="E8" s="28" t="b">
        <f t="shared" si="2"/>
        <v>0</v>
      </c>
      <c r="F8" s="7" t="s">
        <v>345</v>
      </c>
      <c r="H8" s="9"/>
    </row>
    <row r="9" spans="2:8">
      <c r="B9" s="12">
        <v>100</v>
      </c>
      <c r="C9" s="28" t="b">
        <f t="shared" si="0"/>
        <v>0</v>
      </c>
      <c r="D9" s="28" t="b">
        <f t="shared" si="1"/>
        <v>0</v>
      </c>
      <c r="E9" s="28" t="b">
        <f t="shared" si="2"/>
        <v>1</v>
      </c>
      <c r="F9" s="7" t="s">
        <v>346</v>
      </c>
      <c r="H9" s="9"/>
    </row>
    <row r="10" spans="2:8">
      <c r="B10" s="87" t="s">
        <v>347</v>
      </c>
      <c r="C10" s="28" t="b">
        <f t="shared" si="0"/>
        <v>0</v>
      </c>
      <c r="D10" s="28" t="b">
        <f t="shared" si="1"/>
        <v>1</v>
      </c>
      <c r="E10" s="28" t="b">
        <f t="shared" si="2"/>
        <v>0</v>
      </c>
      <c r="F10" s="7" t="s">
        <v>348</v>
      </c>
      <c r="H10" s="9"/>
    </row>
    <row r="11" spans="2:8">
      <c r="B11" s="31">
        <v>45657</v>
      </c>
      <c r="C11" s="28" t="b">
        <f t="shared" si="0"/>
        <v>0</v>
      </c>
      <c r="D11" s="28" t="b">
        <f t="shared" si="1"/>
        <v>0</v>
      </c>
      <c r="E11" s="28" t="b">
        <f t="shared" si="2"/>
        <v>1</v>
      </c>
      <c r="F11" s="7" t="s">
        <v>349</v>
      </c>
      <c r="H11" s="9"/>
    </row>
    <row r="12" spans="2:8">
      <c r="B12" s="35">
        <v>0.396041666666667</v>
      </c>
      <c r="C12" s="28" t="b">
        <f t="shared" si="0"/>
        <v>0</v>
      </c>
      <c r="D12" s="28" t="b">
        <f t="shared" si="1"/>
        <v>0</v>
      </c>
      <c r="E12" s="28" t="b">
        <f t="shared" si="2"/>
        <v>1</v>
      </c>
      <c r="F12" s="7" t="s">
        <v>350</v>
      </c>
      <c r="H12" s="9"/>
    </row>
    <row r="13" spans="2:8">
      <c r="B13" s="31" t="e">
        <f>VLOOKUP("утюг",$B$5:$B$8,1,0)</f>
        <v>#N/A</v>
      </c>
      <c r="C13" s="28" t="b">
        <f t="shared" si="0"/>
        <v>0</v>
      </c>
      <c r="D13" s="28" t="b">
        <f t="shared" si="1"/>
        <v>0</v>
      </c>
      <c r="E13" s="28" t="b">
        <f t="shared" si="2"/>
        <v>0</v>
      </c>
      <c r="F13" s="7" t="s">
        <v>351</v>
      </c>
      <c r="H13" s="9"/>
    </row>
    <row r="14" spans="2:6">
      <c r="B14" s="31" t="e">
        <f>6/0</f>
        <v>#DIV/0!</v>
      </c>
      <c r="C14" s="28" t="b">
        <f t="shared" si="0"/>
        <v>0</v>
      </c>
      <c r="D14" s="28" t="b">
        <f t="shared" si="1"/>
        <v>0</v>
      </c>
      <c r="E14" s="28" t="b">
        <f t="shared" si="2"/>
        <v>0</v>
      </c>
      <c r="F14" s="7" t="s">
        <v>351</v>
      </c>
    </row>
  </sheetData>
  <conditionalFormatting sqref="C5:E14">
    <cfRule type="cellIs" dxfId="0" priority="1" operator="equal">
      <formula>TRUE</formula>
    </cfRule>
  </conditionalFormatting>
  <pageMargins left="0.7" right="0.7" top="0.75" bottom="0.75" header="0.3" footer="0.3"/>
  <headerFooter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F16" sqref="F16"/>
    </sheetView>
  </sheetViews>
  <sheetFormatPr defaultColWidth="9" defaultRowHeight="14.5"/>
  <cols>
    <col min="2" max="3" width="11.2181818181818" customWidth="1"/>
    <col min="4" max="5" width="6.44545454545455" customWidth="1"/>
    <col min="6" max="6" width="17.4454545454545" customWidth="1"/>
  </cols>
  <sheetData>
    <row r="1" spans="10:10">
      <c r="J1" s="10"/>
    </row>
    <row r="2" ht="21" spans="2:6">
      <c r="B2" s="1" t="s">
        <v>352</v>
      </c>
      <c r="C2" s="1"/>
      <c r="F2" s="25" t="s">
        <v>353</v>
      </c>
    </row>
    <row r="3" spans="6:6">
      <c r="F3" s="7"/>
    </row>
    <row r="4" ht="15.5" spans="2:6">
      <c r="B4" s="2" t="s">
        <v>167</v>
      </c>
      <c r="C4" s="2" t="s">
        <v>168</v>
      </c>
      <c r="E4" s="26" t="s">
        <v>354</v>
      </c>
      <c r="F4" s="26" t="s">
        <v>355</v>
      </c>
    </row>
    <row r="5" spans="2:7">
      <c r="B5" s="4" t="s">
        <v>170</v>
      </c>
      <c r="C5" s="4">
        <v>58</v>
      </c>
      <c r="E5" s="27"/>
      <c r="F5" s="27"/>
      <c r="G5" s="7"/>
    </row>
    <row r="6" spans="2:7">
      <c r="B6" s="4" t="s">
        <v>171</v>
      </c>
      <c r="C6" s="4">
        <v>30</v>
      </c>
      <c r="E6" s="4">
        <v>1</v>
      </c>
      <c r="F6" s="28">
        <f>LARGE(C5:C15,1)</f>
        <v>96</v>
      </c>
      <c r="G6" s="7"/>
    </row>
    <row r="7" ht="15.5" spans="1:7">
      <c r="A7" s="29"/>
      <c r="B7" s="4" t="s">
        <v>172</v>
      </c>
      <c r="C7" s="4">
        <v>37</v>
      </c>
      <c r="E7" s="4">
        <v>2</v>
      </c>
      <c r="F7" s="28">
        <f>LARGE(C5:C15,2)</f>
        <v>89</v>
      </c>
      <c r="G7" s="7"/>
    </row>
    <row r="8" ht="15.5" spans="1:7">
      <c r="A8" s="29"/>
      <c r="B8" s="30" t="s">
        <v>173</v>
      </c>
      <c r="C8" s="4">
        <v>96</v>
      </c>
      <c r="E8" s="4">
        <v>3</v>
      </c>
      <c r="F8" s="28">
        <f>SMALL(C5:C15,3)</f>
        <v>37</v>
      </c>
      <c r="G8" s="7"/>
    </row>
    <row r="9" ht="15.5" spans="1:7">
      <c r="A9" s="29"/>
      <c r="B9" s="31" t="s">
        <v>175</v>
      </c>
      <c r="C9" s="4">
        <v>84</v>
      </c>
      <c r="G9" s="7"/>
    </row>
    <row r="10" ht="15.5" spans="1:7">
      <c r="A10" s="29"/>
      <c r="B10" s="31" t="s">
        <v>176</v>
      </c>
      <c r="C10" s="4">
        <v>89</v>
      </c>
      <c r="G10" s="7"/>
    </row>
    <row r="11" ht="15.5" spans="1:6">
      <c r="A11" s="29"/>
      <c r="B11" s="31" t="s">
        <v>177</v>
      </c>
      <c r="C11" s="4">
        <v>70</v>
      </c>
      <c r="D11" s="7"/>
      <c r="E11" s="26" t="s">
        <v>354</v>
      </c>
      <c r="F11" s="26" t="s">
        <v>356</v>
      </c>
    </row>
    <row r="12" ht="15.5" spans="1:7">
      <c r="A12" s="29"/>
      <c r="B12" s="31" t="s">
        <v>178</v>
      </c>
      <c r="C12" s="4">
        <v>24</v>
      </c>
      <c r="D12" s="7"/>
      <c r="E12" s="27"/>
      <c r="F12" s="27"/>
      <c r="G12" s="7"/>
    </row>
    <row r="13" ht="15.5" spans="1:7">
      <c r="A13" s="29"/>
      <c r="B13" s="32" t="s">
        <v>179</v>
      </c>
      <c r="C13" s="4">
        <v>62</v>
      </c>
      <c r="D13" s="7"/>
      <c r="E13" s="4">
        <v>1</v>
      </c>
      <c r="F13" s="28">
        <f>SMALL(C5:C15,1)</f>
        <v>24</v>
      </c>
      <c r="G13" s="7"/>
    </row>
    <row r="14" spans="2:6">
      <c r="B14" s="4" t="s">
        <v>180</v>
      </c>
      <c r="C14" s="4">
        <v>78</v>
      </c>
      <c r="D14" s="7"/>
      <c r="E14" s="4">
        <v>2</v>
      </c>
      <c r="F14" s="28">
        <f>SMALL(C6:C16,2)</f>
        <v>30</v>
      </c>
    </row>
    <row r="15" spans="2:6">
      <c r="B15" s="4" t="s">
        <v>181</v>
      </c>
      <c r="C15" s="4">
        <v>72</v>
      </c>
      <c r="E15" s="4">
        <v>3</v>
      </c>
      <c r="F15" s="28">
        <f>SMALL(C7:C17,3)</f>
        <v>62</v>
      </c>
    </row>
  </sheetData>
  <mergeCells count="4">
    <mergeCell ref="E4:E5"/>
    <mergeCell ref="E11:E12"/>
    <mergeCell ref="F4:F5"/>
    <mergeCell ref="F11:F12"/>
  </mergeCells>
  <pageMargins left="0.7" right="0.7" top="0.75" bottom="0.75" header="0.3" footer="0.3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5"/>
  <sheetViews>
    <sheetView workbookViewId="0">
      <selection activeCell="H6" sqref="H6"/>
    </sheetView>
  </sheetViews>
  <sheetFormatPr defaultColWidth="9" defaultRowHeight="14.5"/>
  <cols>
    <col min="2" max="2" width="14.5545454545455" customWidth="1"/>
    <col min="3" max="3" width="19.5545454545455" customWidth="1"/>
    <col min="4" max="4" width="16.8909090909091" customWidth="1"/>
    <col min="5" max="5" width="15.6636363636364" customWidth="1"/>
    <col min="7" max="7" width="16.2181818181818" customWidth="1"/>
    <col min="8" max="8" width="18" customWidth="1"/>
  </cols>
  <sheetData>
    <row r="1" spans="10:10">
      <c r="J1" s="10"/>
    </row>
    <row r="2" ht="21" customHeight="1" spans="2:2">
      <c r="B2" s="1" t="s">
        <v>357</v>
      </c>
    </row>
    <row r="3" spans="2:5">
      <c r="B3" s="11">
        <v>1</v>
      </c>
      <c r="C3" s="11">
        <v>2</v>
      </c>
      <c r="D3" s="11">
        <v>3</v>
      </c>
      <c r="E3" s="11">
        <v>4</v>
      </c>
    </row>
    <row r="4" ht="15.5" spans="2:8">
      <c r="B4" s="2" t="s">
        <v>358</v>
      </c>
      <c r="C4" s="2" t="s">
        <v>359</v>
      </c>
      <c r="D4" s="2" t="s">
        <v>360</v>
      </c>
      <c r="E4" s="22" t="s">
        <v>361</v>
      </c>
      <c r="G4" s="14" t="s">
        <v>358</v>
      </c>
      <c r="H4" s="15" t="s">
        <v>361</v>
      </c>
    </row>
    <row r="5" spans="2:8">
      <c r="B5" s="23">
        <v>2683</v>
      </c>
      <c r="C5" s="92" t="s">
        <v>362</v>
      </c>
      <c r="D5" s="4">
        <v>72</v>
      </c>
      <c r="E5" s="24">
        <v>6500</v>
      </c>
      <c r="F5" s="7"/>
      <c r="G5" s="4">
        <v>2378</v>
      </c>
      <c r="H5" s="6">
        <f>VLOOKUP(G5,B5:E15,4,FALSE())</f>
        <v>3000</v>
      </c>
    </row>
    <row r="6" spans="2:7">
      <c r="B6" s="23">
        <v>6483</v>
      </c>
      <c r="C6" s="92" t="s">
        <v>363</v>
      </c>
      <c r="D6" s="4">
        <v>97</v>
      </c>
      <c r="E6" s="24">
        <v>15000</v>
      </c>
      <c r="F6" s="7"/>
      <c r="G6" s="9"/>
    </row>
    <row r="7" spans="2:7">
      <c r="B7" s="23">
        <v>6110</v>
      </c>
      <c r="C7" s="92" t="s">
        <v>364</v>
      </c>
      <c r="D7" s="4">
        <v>61</v>
      </c>
      <c r="E7" s="24">
        <v>500</v>
      </c>
      <c r="F7" s="7"/>
      <c r="G7" s="9"/>
    </row>
    <row r="8" spans="2:7">
      <c r="B8" s="23">
        <v>5711</v>
      </c>
      <c r="C8" s="92" t="s">
        <v>365</v>
      </c>
      <c r="D8" s="4">
        <v>101</v>
      </c>
      <c r="E8" s="24">
        <v>1500</v>
      </c>
      <c r="F8" s="7"/>
      <c r="G8" s="9"/>
    </row>
    <row r="9" spans="2:7">
      <c r="B9" s="23">
        <v>3506</v>
      </c>
      <c r="C9" s="92" t="s">
        <v>366</v>
      </c>
      <c r="D9" s="4">
        <v>70</v>
      </c>
      <c r="E9" s="24">
        <v>8900</v>
      </c>
      <c r="F9" s="7"/>
      <c r="G9" s="9"/>
    </row>
    <row r="10" spans="2:7">
      <c r="B10" s="23">
        <v>9139</v>
      </c>
      <c r="C10" s="92" t="s">
        <v>367</v>
      </c>
      <c r="D10" s="4">
        <v>90</v>
      </c>
      <c r="E10" s="24">
        <v>150</v>
      </c>
      <c r="F10" s="7"/>
      <c r="G10" s="9"/>
    </row>
    <row r="11" spans="2:7">
      <c r="B11" s="23">
        <v>1546</v>
      </c>
      <c r="C11" s="92" t="s">
        <v>368</v>
      </c>
      <c r="D11" s="4">
        <v>73</v>
      </c>
      <c r="E11" s="24">
        <v>30000</v>
      </c>
      <c r="F11" s="7"/>
      <c r="G11" s="9"/>
    </row>
    <row r="12" spans="2:7">
      <c r="B12" s="23">
        <v>5897</v>
      </c>
      <c r="C12" s="92" t="s">
        <v>369</v>
      </c>
      <c r="D12" s="4">
        <v>95</v>
      </c>
      <c r="E12" s="24">
        <v>8000</v>
      </c>
      <c r="F12" s="7"/>
      <c r="G12" s="9"/>
    </row>
    <row r="13" spans="2:7">
      <c r="B13" s="23">
        <v>2378</v>
      </c>
      <c r="C13" s="92" t="s">
        <v>370</v>
      </c>
      <c r="D13" s="4">
        <v>93</v>
      </c>
      <c r="E13" s="24">
        <v>3000</v>
      </c>
      <c r="F13" s="7"/>
      <c r="G13" s="9"/>
    </row>
    <row r="14" spans="2:6">
      <c r="B14" s="23">
        <v>1345</v>
      </c>
      <c r="C14" s="92" t="s">
        <v>371</v>
      </c>
      <c r="D14" s="4">
        <v>71</v>
      </c>
      <c r="E14" s="24">
        <v>2900</v>
      </c>
      <c r="F14" s="7"/>
    </row>
    <row r="15" spans="2:6">
      <c r="B15" s="23">
        <v>9215</v>
      </c>
      <c r="C15" s="92" t="s">
        <v>372</v>
      </c>
      <c r="D15" s="4">
        <v>57</v>
      </c>
      <c r="E15" s="24">
        <v>12000</v>
      </c>
      <c r="F15" s="7"/>
    </row>
  </sheetData>
  <pageMargins left="0.7" right="0.7" top="0.75" bottom="0.75" header="0.3" footer="0.3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6"/>
  <sheetViews>
    <sheetView workbookViewId="0">
      <selection activeCell="D5" sqref="D5:D15"/>
    </sheetView>
  </sheetViews>
  <sheetFormatPr defaultColWidth="9" defaultRowHeight="14.5"/>
  <cols>
    <col min="2" max="2" width="14.4454545454545" customWidth="1"/>
    <col min="3" max="3" width="15.5545454545455" customWidth="1"/>
    <col min="4" max="4" width="17.6636363636364" customWidth="1"/>
    <col min="5" max="5" width="16.2181818181818" customWidth="1"/>
    <col min="6" max="6" width="26.5545454545455" customWidth="1"/>
    <col min="7" max="7" width="10.4454545454545" customWidth="1"/>
  </cols>
  <sheetData>
    <row r="1" spans="6:10">
      <c r="F1" s="18"/>
      <c r="J1" s="10"/>
    </row>
    <row r="2" ht="21" spans="2:2">
      <c r="B2" s="1" t="s">
        <v>373</v>
      </c>
    </row>
    <row r="3" spans="3:4">
      <c r="C3" s="7"/>
      <c r="D3" s="7"/>
    </row>
    <row r="4" ht="15.5" spans="2:4">
      <c r="B4" s="2" t="s">
        <v>374</v>
      </c>
      <c r="C4" s="2" t="s">
        <v>375</v>
      </c>
      <c r="D4" s="19" t="s">
        <v>376</v>
      </c>
    </row>
    <row r="5" spans="2:5">
      <c r="B5" s="16">
        <v>7600</v>
      </c>
      <c r="C5" s="4">
        <v>4</v>
      </c>
      <c r="D5" s="20" cm="1">
        <f t="array" ref="D5:E5">IFERROR(B5:C5,FALSE())</f>
        <v>7600</v>
      </c>
      <c r="E5" s="7">
        <v>4</v>
      </c>
    </row>
    <row r="6" spans="2:5">
      <c r="B6" s="16">
        <v>10300</v>
      </c>
      <c r="C6" s="4">
        <v>0</v>
      </c>
      <c r="D6" s="20" vm="1" t="e" cm="1">
        <f ca="1" t="array" ref="D6">IFERROR(B6:C6,FALSE())</f>
        <v>#VALUE!</v>
      </c>
      <c r="E6" s="7" t="s">
        <v>377</v>
      </c>
    </row>
    <row r="7" spans="2:5">
      <c r="B7" s="16">
        <v>9800</v>
      </c>
      <c r="C7" s="4">
        <v>5</v>
      </c>
      <c r="D7" s="20" cm="1">
        <f t="array" ref="D7:E7">IFERROR(B7:C7,FALSE())</f>
        <v>9800</v>
      </c>
      <c r="E7" s="7">
        <v>5</v>
      </c>
    </row>
    <row r="8" spans="2:5">
      <c r="B8" s="16">
        <v>7300</v>
      </c>
      <c r="C8" s="4">
        <v>10</v>
      </c>
      <c r="D8" s="20" cm="1">
        <f t="array" ref="D8:E8">IFERROR(B8:C8,FALSE())</f>
        <v>7300</v>
      </c>
      <c r="E8" s="7">
        <v>10</v>
      </c>
    </row>
    <row r="9" spans="2:5">
      <c r="B9" s="16">
        <v>14300</v>
      </c>
      <c r="C9" s="4">
        <v>6</v>
      </c>
      <c r="D9" s="20" cm="1">
        <f t="array" ref="D9:E9">IFERROR(B9:C9,FALSE())</f>
        <v>14300</v>
      </c>
      <c r="E9" s="7">
        <v>6</v>
      </c>
    </row>
    <row r="10" spans="2:5">
      <c r="B10" s="16">
        <v>9700</v>
      </c>
      <c r="C10" s="4">
        <v>7</v>
      </c>
      <c r="D10" s="20" cm="1">
        <f t="array" ref="D10:E10">IFERROR(B10:C10,FALSE())</f>
        <v>9700</v>
      </c>
      <c r="E10" s="7">
        <v>7</v>
      </c>
    </row>
    <row r="11" spans="2:5">
      <c r="B11" s="16">
        <v>7700</v>
      </c>
      <c r="C11" s="4">
        <v>14</v>
      </c>
      <c r="D11" s="20" cm="1">
        <f t="array" ref="D11:E11">IFERROR(B11:C11,FALSE())</f>
        <v>7700</v>
      </c>
      <c r="E11" s="7">
        <v>14</v>
      </c>
    </row>
    <row r="12" spans="2:5">
      <c r="B12" s="16">
        <v>5500</v>
      </c>
      <c r="C12" s="4">
        <v>15</v>
      </c>
      <c r="D12" s="20" cm="1">
        <f t="array" ref="D12:E12">IFERROR(B12:C12,FALSE())</f>
        <v>5500</v>
      </c>
      <c r="E12" s="7">
        <v>15</v>
      </c>
    </row>
    <row r="13" spans="2:5">
      <c r="B13" s="16">
        <v>7700</v>
      </c>
      <c r="C13" s="4">
        <v>9</v>
      </c>
      <c r="D13" s="20" cm="1">
        <f t="array" ref="D13:E13">IFERROR(B13:C13,FALSE())</f>
        <v>7700</v>
      </c>
      <c r="E13" s="7">
        <v>9</v>
      </c>
    </row>
    <row r="14" spans="2:5">
      <c r="B14" s="16">
        <v>6100</v>
      </c>
      <c r="C14" s="4">
        <v>0</v>
      </c>
      <c r="D14" s="20" vm="1" t="e" cm="1">
        <f ca="1" t="array" ref="D14">IFERROR(B14:C14,FALSE())</f>
        <v>#VALUE!</v>
      </c>
      <c r="E14" s="7" t="s">
        <v>377</v>
      </c>
    </row>
    <row r="15" spans="2:5">
      <c r="B15" s="16">
        <v>12500</v>
      </c>
      <c r="C15" s="4">
        <v>7</v>
      </c>
      <c r="D15" s="20" cm="1">
        <f t="array" ref="D15:E15">IFERROR(B15:C15,FALSE())</f>
        <v>12500</v>
      </c>
      <c r="E15" s="7">
        <v>7</v>
      </c>
    </row>
    <row r="16" spans="4:4">
      <c r="D16" s="21"/>
    </row>
  </sheetData>
  <pageMargins left="0.7" right="0.7" top="0.75" bottom="0.75" header="0.3" footer="0.3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5"/>
  <sheetViews>
    <sheetView tabSelected="1" workbookViewId="0">
      <selection activeCell="F5" sqref="F5"/>
    </sheetView>
  </sheetViews>
  <sheetFormatPr defaultColWidth="9" defaultRowHeight="14.5"/>
  <cols>
    <col min="2" max="2" width="19.5545454545455" customWidth="1"/>
    <col min="3" max="4" width="12.8909090909091" customWidth="1"/>
    <col min="5" max="5" width="19.5545454545455" customWidth="1"/>
    <col min="6" max="6" width="18" customWidth="1"/>
  </cols>
  <sheetData>
    <row r="1" spans="10:10">
      <c r="J1" s="10"/>
    </row>
    <row r="2" ht="21" spans="2:3">
      <c r="B2" s="1" t="s">
        <v>378</v>
      </c>
      <c r="C2" s="1"/>
    </row>
    <row r="4" ht="15.5" spans="2:6">
      <c r="B4" s="2" t="s">
        <v>359</v>
      </c>
      <c r="E4" s="14" t="s">
        <v>359</v>
      </c>
      <c r="F4" s="15" t="s">
        <v>5</v>
      </c>
    </row>
    <row r="5" spans="2:6">
      <c r="B5" s="92" t="s">
        <v>362</v>
      </c>
      <c r="C5" s="17">
        <v>1</v>
      </c>
      <c r="D5" s="7"/>
      <c r="E5" s="4" t="s">
        <v>366</v>
      </c>
      <c r="F5" s="6">
        <f>MATCH(E5,B5:B15)</f>
        <v>2</v>
      </c>
    </row>
    <row r="6" spans="2:5">
      <c r="B6" s="92" t="s">
        <v>363</v>
      </c>
      <c r="C6" s="17">
        <v>2</v>
      </c>
      <c r="D6" s="7"/>
      <c r="E6" s="9"/>
    </row>
    <row r="7" spans="2:5">
      <c r="B7" s="92" t="s">
        <v>364</v>
      </c>
      <c r="C7" s="17">
        <v>3</v>
      </c>
      <c r="D7" s="7"/>
      <c r="E7" s="9"/>
    </row>
    <row r="8" spans="2:5">
      <c r="B8" s="92" t="s">
        <v>365</v>
      </c>
      <c r="C8" s="17">
        <v>4</v>
      </c>
      <c r="D8" s="7"/>
      <c r="E8" s="9"/>
    </row>
    <row r="9" spans="2:5">
      <c r="B9" s="92" t="s">
        <v>366</v>
      </c>
      <c r="C9" s="17">
        <v>5</v>
      </c>
      <c r="D9" s="7"/>
      <c r="E9" s="9"/>
    </row>
    <row r="10" spans="2:5">
      <c r="B10" s="92" t="s">
        <v>367</v>
      </c>
      <c r="C10" s="17">
        <v>6</v>
      </c>
      <c r="D10" s="7"/>
      <c r="E10" s="9"/>
    </row>
    <row r="11" spans="2:5">
      <c r="B11" s="92" t="s">
        <v>368</v>
      </c>
      <c r="C11" s="17">
        <v>7</v>
      </c>
      <c r="D11" s="7"/>
      <c r="E11" s="9"/>
    </row>
    <row r="12" spans="2:5">
      <c r="B12" s="92" t="s">
        <v>369</v>
      </c>
      <c r="C12" s="17">
        <v>8</v>
      </c>
      <c r="D12" s="7"/>
      <c r="E12" s="9"/>
    </row>
    <row r="13" spans="2:5">
      <c r="B13" s="92" t="s">
        <v>370</v>
      </c>
      <c r="C13" s="17">
        <v>9</v>
      </c>
      <c r="D13" s="7"/>
      <c r="E13" s="9"/>
    </row>
    <row r="14" spans="2:4">
      <c r="B14" s="92" t="s">
        <v>371</v>
      </c>
      <c r="C14" s="17">
        <v>10</v>
      </c>
      <c r="D14" s="7"/>
    </row>
    <row r="15" spans="2:4">
      <c r="B15" s="92" t="s">
        <v>372</v>
      </c>
      <c r="C15" s="17">
        <v>11</v>
      </c>
      <c r="D15" s="7"/>
    </row>
  </sheetData>
  <pageMargins left="0.7" right="0.7" top="0.75" bottom="0.75" header="0.3" footer="0.3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G7" sqref="G7"/>
    </sheetView>
  </sheetViews>
  <sheetFormatPr defaultColWidth="9" defaultRowHeight="14.5"/>
  <cols>
    <col min="2" max="2" width="27.8909090909091" customWidth="1"/>
    <col min="3" max="3" width="13.3363636363636" customWidth="1"/>
    <col min="4" max="4" width="16.8909090909091" customWidth="1"/>
    <col min="5" max="5" width="15.6636363636364" customWidth="1"/>
    <col min="7" max="7" width="16.2181818181818" customWidth="1"/>
    <col min="8" max="8" width="18" customWidth="1"/>
  </cols>
  <sheetData>
    <row r="1" spans="10:10">
      <c r="J1" s="10"/>
    </row>
    <row r="2" ht="21" spans="2:2">
      <c r="B2" s="1" t="s">
        <v>379</v>
      </c>
    </row>
    <row r="3" spans="2:5">
      <c r="B3" s="11">
        <v>1</v>
      </c>
      <c r="C3" s="11">
        <v>2</v>
      </c>
      <c r="D3" s="11">
        <v>3</v>
      </c>
      <c r="E3" s="11">
        <v>4</v>
      </c>
    </row>
    <row r="4" ht="15.5" spans="2:5">
      <c r="B4" s="2" t="s">
        <v>380</v>
      </c>
      <c r="C4" s="2" t="s">
        <v>381</v>
      </c>
      <c r="D4" s="2" t="s">
        <v>136</v>
      </c>
      <c r="E4" s="2" t="s">
        <v>382</v>
      </c>
    </row>
    <row r="5" ht="15.5" spans="1:6">
      <c r="A5" s="3">
        <v>1</v>
      </c>
      <c r="B5" s="8" t="s">
        <v>383</v>
      </c>
      <c r="C5" s="5">
        <v>829.8</v>
      </c>
      <c r="D5" s="93" t="s">
        <v>384</v>
      </c>
      <c r="E5" s="12">
        <f>RANK(C5,$C$5:$C$15)</f>
        <v>1</v>
      </c>
      <c r="F5" s="7"/>
    </row>
    <row r="6" ht="15.5" spans="1:7">
      <c r="A6" s="3">
        <v>2</v>
      </c>
      <c r="B6" s="93" t="s">
        <v>385</v>
      </c>
      <c r="C6" s="5">
        <v>678.9</v>
      </c>
      <c r="D6" s="93" t="s">
        <v>386</v>
      </c>
      <c r="E6" s="12">
        <f t="shared" ref="E6:E15" si="0">RANK(C6,$C$5:$C$15)</f>
        <v>2</v>
      </c>
      <c r="F6" s="7"/>
      <c r="G6" s="13">
        <f>INDEX(C5:C15,4)</f>
        <v>632</v>
      </c>
    </row>
    <row r="7" ht="15.5" spans="1:6">
      <c r="A7" s="3">
        <v>3</v>
      </c>
      <c r="B7" s="4" t="s">
        <v>387</v>
      </c>
      <c r="C7" s="5">
        <v>634</v>
      </c>
      <c r="D7" s="93" t="s">
        <v>388</v>
      </c>
      <c r="E7" s="12">
        <f t="shared" si="0"/>
        <v>3</v>
      </c>
      <c r="F7" s="7"/>
    </row>
    <row r="8" ht="15.5" spans="1:7">
      <c r="A8" s="3">
        <v>4</v>
      </c>
      <c r="B8" s="4" t="s">
        <v>389</v>
      </c>
      <c r="C8" s="5">
        <v>632</v>
      </c>
      <c r="D8" s="93" t="s">
        <v>390</v>
      </c>
      <c r="E8" s="12">
        <f t="shared" si="0"/>
        <v>4</v>
      </c>
      <c r="F8" s="7"/>
      <c r="G8" s="9"/>
    </row>
    <row r="9" ht="15.5" spans="1:7">
      <c r="A9" s="3">
        <v>5</v>
      </c>
      <c r="B9" s="4" t="s">
        <v>391</v>
      </c>
      <c r="C9" s="5">
        <v>627.8</v>
      </c>
      <c r="D9" s="93" t="s">
        <v>392</v>
      </c>
      <c r="E9" s="12">
        <f t="shared" si="0"/>
        <v>5</v>
      </c>
      <c r="F9" s="7"/>
      <c r="G9" s="9"/>
    </row>
    <row r="10" ht="15.5" spans="1:7">
      <c r="A10" s="3">
        <v>6</v>
      </c>
      <c r="B10" s="4" t="s">
        <v>393</v>
      </c>
      <c r="C10" s="5">
        <v>604</v>
      </c>
      <c r="D10" s="93" t="s">
        <v>394</v>
      </c>
      <c r="E10" s="12">
        <f t="shared" si="0"/>
        <v>6</v>
      </c>
      <c r="F10" s="7"/>
      <c r="G10" s="9"/>
    </row>
    <row r="11" ht="15.5" spans="1:7">
      <c r="A11" s="3">
        <v>7</v>
      </c>
      <c r="B11" s="4" t="s">
        <v>395</v>
      </c>
      <c r="C11" s="5">
        <v>601</v>
      </c>
      <c r="D11" s="93" t="s">
        <v>396</v>
      </c>
      <c r="E11" s="12">
        <f t="shared" si="0"/>
        <v>7</v>
      </c>
      <c r="F11" s="7"/>
      <c r="G11" s="9"/>
    </row>
    <row r="12" ht="15.5" spans="1:6">
      <c r="A12" s="3">
        <v>8</v>
      </c>
      <c r="B12" s="4" t="s">
        <v>397</v>
      </c>
      <c r="C12" s="5">
        <v>596.6</v>
      </c>
      <c r="D12" s="93" t="s">
        <v>398</v>
      </c>
      <c r="E12" s="12">
        <f t="shared" si="0"/>
        <v>8</v>
      </c>
      <c r="F12" s="7"/>
    </row>
    <row r="13" ht="15.5" spans="1:6">
      <c r="A13" s="3">
        <v>9</v>
      </c>
      <c r="B13" s="4" t="s">
        <v>399</v>
      </c>
      <c r="C13" s="5">
        <v>555.7</v>
      </c>
      <c r="D13" s="93" t="s">
        <v>400</v>
      </c>
      <c r="E13" s="12">
        <f t="shared" si="0"/>
        <v>9</v>
      </c>
      <c r="F13" s="7"/>
    </row>
    <row r="14" ht="15.5" spans="1:5">
      <c r="A14" s="3">
        <v>10</v>
      </c>
      <c r="B14" s="4" t="s">
        <v>401</v>
      </c>
      <c r="C14" s="5">
        <v>553.3</v>
      </c>
      <c r="D14" s="93" t="s">
        <v>402</v>
      </c>
      <c r="E14" s="12">
        <f t="shared" si="0"/>
        <v>10</v>
      </c>
    </row>
    <row r="15" ht="15.5" spans="1:5">
      <c r="A15" s="3">
        <v>11</v>
      </c>
      <c r="B15" s="4" t="s">
        <v>403</v>
      </c>
      <c r="C15" s="5">
        <v>540</v>
      </c>
      <c r="D15" s="93" t="s">
        <v>139</v>
      </c>
      <c r="E15" s="12">
        <f t="shared" si="0"/>
        <v>11</v>
      </c>
    </row>
  </sheetData>
  <pageMargins left="0.7" right="0.7" top="0.75" bottom="0.75" header="0.3" footer="0.3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workbookViewId="0">
      <selection activeCell="E5" sqref="E5:E15"/>
    </sheetView>
  </sheetViews>
  <sheetFormatPr defaultColWidth="9" defaultRowHeight="14.5"/>
  <cols>
    <col min="2" max="2" width="27.8909090909091" customWidth="1"/>
    <col min="3" max="3" width="13.3363636363636" customWidth="1"/>
    <col min="4" max="4" width="16.8909090909091" customWidth="1"/>
    <col min="5" max="5" width="15.6636363636364" customWidth="1"/>
    <col min="7" max="7" width="16.2181818181818" customWidth="1"/>
    <col min="8" max="8" width="18" customWidth="1"/>
  </cols>
  <sheetData>
    <row r="1" spans="10:10">
      <c r="J1" s="10"/>
    </row>
    <row r="2" ht="21" spans="2:2">
      <c r="B2" s="1" t="s">
        <v>404</v>
      </c>
    </row>
    <row r="4" ht="15.5" spans="2:5">
      <c r="B4" s="2" t="s">
        <v>380</v>
      </c>
      <c r="C4" s="2" t="s">
        <v>381</v>
      </c>
      <c r="D4" s="2" t="s">
        <v>136</v>
      </c>
      <c r="E4" s="2" t="s">
        <v>382</v>
      </c>
    </row>
    <row r="5" ht="15.5" spans="1:6">
      <c r="A5" s="3"/>
      <c r="B5" s="4" t="s">
        <v>397</v>
      </c>
      <c r="C5" s="5">
        <v>596.6</v>
      </c>
      <c r="D5" s="93" t="s">
        <v>398</v>
      </c>
      <c r="E5" s="6">
        <f>RANK(C5,C5:C15,0)</f>
        <v>8</v>
      </c>
      <c r="F5" s="7"/>
    </row>
    <row r="6" ht="15.5" spans="1:6">
      <c r="A6" s="3"/>
      <c r="B6" s="93" t="s">
        <v>385</v>
      </c>
      <c r="C6" s="5">
        <v>678.9</v>
      </c>
      <c r="D6" s="93" t="s">
        <v>386</v>
      </c>
      <c r="E6" s="6">
        <f t="shared" ref="E6:E15" si="0">RANK(C6,C6:C16,0)</f>
        <v>2</v>
      </c>
      <c r="F6" s="7"/>
    </row>
    <row r="7" ht="15.5" spans="1:6">
      <c r="A7" s="3"/>
      <c r="B7" s="4" t="s">
        <v>387</v>
      </c>
      <c r="C7" s="5">
        <v>634</v>
      </c>
      <c r="D7" s="93" t="s">
        <v>388</v>
      </c>
      <c r="E7" s="6">
        <f t="shared" si="0"/>
        <v>2</v>
      </c>
      <c r="F7" s="7"/>
    </row>
    <row r="8" ht="15.5" spans="1:6">
      <c r="A8" s="3"/>
      <c r="B8" s="4" t="s">
        <v>399</v>
      </c>
      <c r="C8" s="5">
        <v>555.7</v>
      </c>
      <c r="D8" s="93" t="s">
        <v>400</v>
      </c>
      <c r="E8" s="6">
        <f t="shared" si="0"/>
        <v>6</v>
      </c>
      <c r="F8" s="7"/>
    </row>
    <row r="9" ht="15.5" spans="1:7">
      <c r="A9" s="3"/>
      <c r="B9" s="8" t="s">
        <v>383</v>
      </c>
      <c r="C9" s="5">
        <v>829.8</v>
      </c>
      <c r="D9" s="93" t="s">
        <v>384</v>
      </c>
      <c r="E9" s="6">
        <f t="shared" si="0"/>
        <v>1</v>
      </c>
      <c r="F9" s="7"/>
      <c r="G9" s="9"/>
    </row>
    <row r="10" ht="15.5" spans="1:7">
      <c r="A10" s="3"/>
      <c r="B10" s="4" t="s">
        <v>395</v>
      </c>
      <c r="C10" s="5">
        <v>601</v>
      </c>
      <c r="D10" s="93" t="s">
        <v>396</v>
      </c>
      <c r="E10" s="6">
        <f t="shared" si="0"/>
        <v>4</v>
      </c>
      <c r="F10" s="7"/>
      <c r="G10" s="9"/>
    </row>
    <row r="11" ht="15.5" spans="1:7">
      <c r="A11" s="3"/>
      <c r="B11" s="4" t="s">
        <v>403</v>
      </c>
      <c r="C11" s="5">
        <v>540</v>
      </c>
      <c r="D11" s="93" t="s">
        <v>139</v>
      </c>
      <c r="E11" s="6">
        <f t="shared" si="0"/>
        <v>5</v>
      </c>
      <c r="F11" s="7"/>
      <c r="G11" s="9"/>
    </row>
    <row r="12" ht="15.5" spans="1:6">
      <c r="A12" s="3"/>
      <c r="B12" s="4" t="s">
        <v>401</v>
      </c>
      <c r="C12" s="5">
        <v>553.3</v>
      </c>
      <c r="D12" s="93" t="s">
        <v>402</v>
      </c>
      <c r="E12" s="6">
        <f t="shared" si="0"/>
        <v>4</v>
      </c>
      <c r="F12" s="7"/>
    </row>
    <row r="13" ht="15.5" spans="1:6">
      <c r="A13" s="3"/>
      <c r="B13" s="4" t="s">
        <v>393</v>
      </c>
      <c r="C13" s="5">
        <v>604</v>
      </c>
      <c r="D13" s="93" t="s">
        <v>394</v>
      </c>
      <c r="E13" s="6">
        <f t="shared" si="0"/>
        <v>3</v>
      </c>
      <c r="F13" s="7"/>
    </row>
    <row r="14" ht="15.5" spans="1:5">
      <c r="A14" s="3"/>
      <c r="B14" s="4" t="s">
        <v>391</v>
      </c>
      <c r="C14" s="5">
        <v>627.8</v>
      </c>
      <c r="D14" s="93" t="s">
        <v>392</v>
      </c>
      <c r="E14" s="6">
        <f t="shared" si="0"/>
        <v>2</v>
      </c>
    </row>
    <row r="15" ht="15.5" spans="1:5">
      <c r="A15" s="3"/>
      <c r="B15" s="4" t="s">
        <v>389</v>
      </c>
      <c r="C15" s="5">
        <v>632</v>
      </c>
      <c r="D15" s="93" t="s">
        <v>390</v>
      </c>
      <c r="E15" s="6">
        <f t="shared" si="0"/>
        <v>1</v>
      </c>
    </row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ДАТА</vt:lpstr>
      <vt:lpstr>ДЕНЬ МЕСЯЦ ГОД</vt:lpstr>
      <vt:lpstr>СЕГОДНЯ</vt:lpstr>
      <vt:lpstr>ДАТАМЕС</vt:lpstr>
      <vt:lpstr>ОКРУГЛы</vt:lpstr>
      <vt:lpstr>СУММ</vt:lpstr>
      <vt:lpstr>СРЗНАЧ</vt:lpstr>
      <vt:lpstr>ЕСЛИ</vt:lpstr>
      <vt:lpstr>И ИЛИ</vt:lpstr>
      <vt:lpstr>СЧЁТЕСЛИ</vt:lpstr>
      <vt:lpstr>СУММЕСЛИ</vt:lpstr>
      <vt:lpstr>СРЗНАЧЕСЛИ</vt:lpstr>
      <vt:lpstr>МИН МАКС</vt:lpstr>
      <vt:lpstr>СЖПРОБЕЛЫ</vt:lpstr>
      <vt:lpstr>ПОИСК НАЙТИ</vt:lpstr>
      <vt:lpstr>ПОДСТАВИТЬ</vt:lpstr>
      <vt:lpstr>ЗАМЕНИТЬ</vt:lpstr>
      <vt:lpstr>ЛЕВСИМВ ПРАВСИМВ</vt:lpstr>
      <vt:lpstr>ДЛСТР</vt:lpstr>
      <vt:lpstr>СЦЕПИТЬ</vt:lpstr>
      <vt:lpstr>СТРОЧН ПРОПНАЧ ПРОПИСН</vt:lpstr>
      <vt:lpstr>СЧЁТ СЧЁТЗ</vt:lpstr>
      <vt:lpstr>СЧИТАТЬПУСТОТЫ</vt:lpstr>
      <vt:lpstr>ЕПУСТО ЕТЕКСТ ЕЧИСЛО</vt:lpstr>
      <vt:lpstr>НАИБОЛЬШИЙ НАИМЕНЬШИЙ</vt:lpstr>
      <vt:lpstr>ВПР</vt:lpstr>
      <vt:lpstr>ЕСЛИОШИБКА</vt:lpstr>
      <vt:lpstr>ПОИСКПОЗ</vt:lpstr>
      <vt:lpstr>ИНДЕКС</vt:lpstr>
      <vt:lpstr>РАНГ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2026-09-28T14:13:30Z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809064D60F15404F9C9E019F8292F8CD_13</vt:lpwstr>
  </property>
  <property fmtid="{D5CDD505-2E9C-101B-9397-08002B2CF9AE}" pid="3" name="KSOProductBuildVer">
    <vt:lpwstr>1049-12.2.0.23196</vt:lpwstr>
  </property>
</Properties>
</file>